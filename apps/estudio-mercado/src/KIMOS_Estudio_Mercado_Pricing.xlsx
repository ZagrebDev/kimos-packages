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puestos" sheetId="1" state="visible" r:id="rId3"/>
    <sheet name="Mapa Competitivo" sheetId="2" state="visible" r:id="rId4"/>
    <sheet name="Detalle Competencia" sheetId="3" state="visible" r:id="rId5"/>
    <sheet name="Modelo de Suscripcion" sheetId="4" state="visible" r:id="rId6"/>
    <sheet name="D1 Supuestos Demanda" sheetId="5" state="visible" r:id="rId7"/>
    <sheet name="D2 Mercado por Region" sheetId="6" state="visible" r:id="rId8"/>
    <sheet name="D2b Mercados por Pais" sheetId="7" state="visible" r:id="rId9"/>
    <sheet name="D3 Unit Economics" sheetId="8" state="visible" r:id="rId10"/>
    <sheet name="D4 ICP y Segmentos" sheetId="9" state="visible" r:id="rId11"/>
    <sheet name="D5 Evidencia de Demanda" sheetId="10" state="visible" r:id="rId12"/>
    <sheet name="D6 Decisiones Cruzadas" sheetId="11" state="visible" r:id="rId13"/>
    <sheet name="Como usar y Fuentes" sheetId="12" state="visible" r:id="rId14"/>
  </sheets>
  <definedNames>
    <definedName function="false" hidden="true" localSheetId="6" name="_xlnm._FilterDatabase" vbProcedure="false">'D2b Mercados por Pais'!$A$4:$O$34</definedName>
    <definedName function="false" hidden="true" localSheetId="2" name="_xlnm._FilterDatabase" vbProcedure="false">'Detalle Competencia'!$A$4:$K$158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<sst xmlns="http://schemas.openxmlformats.org/spreadsheetml/2006/main" count="2412" uniqueCount="1116">
  <si>
    <t xml:space="preserve">Supuestos del modelo</t>
  </si>
  <si>
    <t xml:space="preserve">Editar solo las celdas azules sobre fondo ambar. Todo lo demas se recalcula.</t>
  </si>
  <si>
    <t xml:space="preserve">Parametro</t>
  </si>
  <si>
    <t xml:space="preserve">Valor</t>
  </si>
  <si>
    <t xml:space="preserve">Unidad</t>
  </si>
  <si>
    <t xml:space="preserve">Comentario</t>
  </si>
  <si>
    <t xml:space="preserve">Moneda</t>
  </si>
  <si>
    <t xml:space="preserve">USD</t>
  </si>
  <si>
    <t xml:space="preserve">Precios de lista publicos, sin impuestos</t>
  </si>
  <si>
    <t xml:space="preserve">Fecha de levantamiento</t>
  </si>
  <si>
    <t xml:space="preserve">2026-08-16</t>
  </si>
  <si>
    <t xml:space="preserve">Revalidar cada 6 meses: los precios SaaS cambian seguido</t>
  </si>
  <si>
    <t xml:space="preserve">Usuarios del cliente tipo</t>
  </si>
  <si>
    <t xml:space="preserve">usuarios</t>
  </si>
  <si>
    <t xml:space="preserve">Base para normalizar precios por usuario contra tarifa plana</t>
  </si>
  <si>
    <t xml:space="preserve">Canales sociales del cliente tipo</t>
  </si>
  <si>
    <t xml:space="preserve">canales</t>
  </si>
  <si>
    <t xml:space="preserve">Base para normalizar precios por canal</t>
  </si>
  <si>
    <t xml:space="preserve">Factor de posicionamiento</t>
  </si>
  <si>
    <t xml:space="preserve">x mediana</t>
  </si>
  <si>
    <t xml:space="preserve">0,55 = challenger. Subir a 0,7-0,9 si se compite por integracion y no por precio</t>
  </si>
  <si>
    <t xml:space="preserve">Descuento por pago anual</t>
  </si>
  <si>
    <t xml:space="preserve">%</t>
  </si>
  <si>
    <t xml:space="preserve">Practica estandar del mercado</t>
  </si>
  <si>
    <t xml:space="preserve">KIMOS - Mapa competitivo y precio sugerido por aplicacion</t>
  </si>
  <si>
    <t xml:space="preserve">Montos en USD/mes para el cliente tipo. Precio sugerido = mediana del mercado x factor de posicionamiento.</t>
  </si>
  <si>
    <t xml:space="preserve">#</t>
  </si>
  <si>
    <t xml:space="preserve">App KIMOS</t>
  </si>
  <si>
    <t xml:space="preserve">Que hace</t>
  </si>
  <si>
    <t xml:space="preserve">Categoria de mercado</t>
  </si>
  <si>
    <t xml:space="preserve">Alternativas</t>
  </si>
  <si>
    <t xml:space="preserve">Target</t>
  </si>
  <si>
    <t xml:space="preserve">Min (PyME)</t>
  </si>
  <si>
    <t xml:space="preserve">Mediana (PyME)</t>
  </si>
  <si>
    <t xml:space="preserve">Max (todo el mercado)</t>
  </si>
  <si>
    <t xml:space="preserve">Precio sugerido KIMOS</t>
  </si>
  <si>
    <t xml:space="preserve">Por usuario</t>
  </si>
  <si>
    <t xml:space="preserve">Ahorro vs mediana</t>
  </si>
  <si>
    <t xml:space="preserve">A favor de KIMOS</t>
  </si>
  <si>
    <t xml:space="preserve">En contra de KIMOS</t>
  </si>
  <si>
    <t xml:space="preserve">Estrategia</t>
  </si>
  <si>
    <t xml:space="preserve">Confianza</t>
  </si>
  <si>
    <t xml:space="preserve">Escritorio Kimos</t>
  </si>
  <si>
    <t xml:space="preserve">Control del escritorio, apertura de aplicaciones y chat entre agentes</t>
  </si>
  <si>
    <t xml:space="preserve">AI Workspace / agente de escritorio</t>
  </si>
  <si>
    <t xml:space="preserve">ChatGPT Business, Claude Team, M365 Copilot, Manus</t>
  </si>
  <si>
    <t xml:space="preserve">Toda la base instalada</t>
  </si>
  <si>
    <t xml:space="preserve">Es el unico modulo que ningun competidor replica dentro de una suite: los demas venden el asistente aparte de las apps. Orquestar agentes sobre datos propios elimina el copy-paste entre herramientas.</t>
  </si>
  <si>
    <t xml:space="preserve">Compite contra OpenAI y Microsoft, que subsidian el precio. La calidad depende de modelos de terceros: si sube el costo del token, sube tu costo variable y no lo controlas.</t>
  </si>
  <si>
    <t xml:space="preserve">Ancla de la suite: incluir en todos los planes, nunca vender suelto</t>
  </si>
  <si>
    <t xml:space="preserve">4/5</t>
  </si>
  <si>
    <t xml:space="preserve">Agentes</t>
  </si>
  <si>
    <t xml:space="preserve">Agentes IA internos que ejecutan tareas del negocio</t>
  </si>
  <si>
    <t xml:space="preserve">Constructor de agentes IA</t>
  </si>
  <si>
    <t xml:space="preserve">Zapier, Lindy, Relevance AI, Notion Agents</t>
  </si>
  <si>
    <t xml:space="preserve">Equipos de operaciones</t>
  </si>
  <si>
    <t xml:space="preserve">Los agentes ya viven donde estan los datos (CRM, archivos, productos). Zapier y Lindy tienen que conectarse por API a todo y pagan ese costo en latencia y fragilidad.</t>
  </si>
  <si>
    <t xml:space="preserve">Categoria con el ciclo de innovacion mas rapido del mercado y jugadores con capital ilimitado. El costo por credito es dificil de proyectar y erosiona margen si se subestima.</t>
  </si>
  <si>
    <t xml:space="preserve">Base fija baja + cobro por creditos de consumo</t>
  </si>
  <si>
    <t xml:space="preserve">6/6</t>
  </si>
  <si>
    <t xml:space="preserve">Agentes Web</t>
  </si>
  <si>
    <t xml:space="preserve">Chatbots y vendedores web (ej. vendedor_figit.ai)</t>
  </si>
  <si>
    <t xml:space="preserve">Chatbot / agente conversacional web</t>
  </si>
  <si>
    <t xml:space="preserve">Tidio, Intercom Fin, Chatbase, Crisp, ManyChat</t>
  </si>
  <si>
    <t xml:space="preserve">E-commerce y equipos de soporte</t>
  </si>
  <si>
    <t xml:space="preserve">El bot conoce el catalogo real (modulo Productos) y el pipeline (Prospeccion), no un PDF cargado a mano. Ese contexto es exactamente lo que Chatbase no puede dar.</t>
  </si>
  <si>
    <t xml:space="preserve">Intercom domina el segmento medio-alto con una marca enorme y Tidio el bajo con precio agresivo. Sin volumen de conversaciones, el modelo por resolucion de Intercom sale mas barato.</t>
  </si>
  <si>
    <t xml:space="preserve">Modulo premium: alto valor percibido y ROI demostrable</t>
  </si>
  <si>
    <t xml:space="preserve">9/9</t>
  </si>
  <si>
    <t xml:space="preserve">Archivos</t>
  </si>
  <si>
    <t xml:space="preserve">Gestor documental de la organizacion</t>
  </si>
  <si>
    <t xml:space="preserve">Almacenamiento y gestion documental</t>
  </si>
  <si>
    <t xml:space="preserve">Google Workspace, Dropbox Business, Box, Egnyte</t>
  </si>
  <si>
    <t xml:space="preserve">Los archivos quedan junto a las tareas, productos y clientes que los originan, sin una capa de integracion de por medio.</t>
  </si>
  <si>
    <t xml:space="preserve">Es la categoria mas comoditizada que existe y compite contra almacenamiento a escala de Google. Nadie cambia de proveedor de archivos por si solo: solo migra si migra todo.</t>
  </si>
  <si>
    <t xml:space="preserve">Commodity: incluir en el core, jamas vender suelto</t>
  </si>
  <si>
    <t xml:space="preserve">7/7</t>
  </si>
  <si>
    <t xml:space="preserve">Conocimiento</t>
  </si>
  <si>
    <t xml:space="preserve">Base de conocimiento corporativa</t>
  </si>
  <si>
    <t xml:space="preserve">Knowledge base / wiki con IA</t>
  </si>
  <si>
    <t xml:space="preserve">Confluence, Guru, Slite, Notion, Document360</t>
  </si>
  <si>
    <t xml:space="preserve">Equipos de 10+ personas</t>
  </si>
  <si>
    <t xml:space="preserve">La busqueda alimenta directamente a los agentes: el conocimiento no es un repositorio muerto sino el contexto que consume el resto de la suite.</t>
  </si>
  <si>
    <t xml:space="preserve">Notion y Confluence tienen ecosistemas de plantillas y comunidades que tomaron una decada construir. Migrar documentacion es doloroso y frena la venta.</t>
  </si>
  <si>
    <t xml:space="preserve">Incluir en el core; diferenciar con busqueda IA nativa</t>
  </si>
  <si>
    <t xml:space="preserve">5/5</t>
  </si>
  <si>
    <t xml:space="preserve">Equipos</t>
  </si>
  <si>
    <t xml:space="preserve">Colaboracion y comunicacion por equipo</t>
  </si>
  <si>
    <t xml:space="preserve">Colaboracion / chat de equipo</t>
  </si>
  <si>
    <t xml:space="preserve">Slack, Microsoft Teams, Google Chat</t>
  </si>
  <si>
    <t xml:space="preserve">Conversacion pegada al trabajo, sin saltar entre Slack y el gestor de tareas.</t>
  </si>
  <si>
    <t xml:space="preserve">Es la categoria mas dificil de desplazar del mercado: el chat tiene efecto de red y Teams viene gratis con Microsoft 365. Recomendacion honesta: no pelear aqui, integrarse.</t>
  </si>
  <si>
    <t xml:space="preserve">Commodity: incluir en el core</t>
  </si>
  <si>
    <t xml:space="preserve">Kanban</t>
  </si>
  <si>
    <t xml:space="preserve">Tableros de tareas y flujos de trabajo</t>
  </si>
  <si>
    <t xml:space="preserve">Gestion de tareas Kanban</t>
  </si>
  <si>
    <t xml:space="preserve">Trello, ClickUp, Monday.com, Asana, Jira</t>
  </si>
  <si>
    <t xml:space="preserve">Todos los equipos</t>
  </si>
  <si>
    <t xml:space="preserve">Funcionalidad de paridad razonable y es el modulo mas facil de adoptar sin capacitacion. Buen caballo de Troya para entrar a la cuenta.</t>
  </si>
  <si>
    <t xml:space="preserve">Mercado saturado con Trello a USD 5 y ClickUp a USD 7. Cero disposicion a pagar mas que el lider, y el costo de cambio para el cliente es bajisimo.</t>
  </si>
  <si>
    <t xml:space="preserve">Modulo de entrada con precio agresivo: sirve para adquirir, no para monetizar</t>
  </si>
  <si>
    <t xml:space="preserve">Planificacion (Gantt)</t>
  </si>
  <si>
    <t xml:space="preserve">Planificacion de proyectos en diagrama de Gantt</t>
  </si>
  <si>
    <t xml:space="preserve">Planificacion de proyectos / Gantt</t>
  </si>
  <si>
    <t xml:space="preserve">Smartsheet, Wrike, MS Project, TeamGantt, Instagantt</t>
  </si>
  <si>
    <t xml:space="preserve">PMOs y consultoras</t>
  </si>
  <si>
    <t xml:space="preserve">Vendido junto a Kanban da una propuesta que Trello no tiene y Smartsheet cobra a USD 19.</t>
  </si>
  <si>
    <t xml:space="preserve">MS Project es el estandar de facto en organizaciones grandes por inercia. Gantt suelto es un producto de nicho: casi nadie lo compra aislado.</t>
  </si>
  <si>
    <t xml:space="preserve">Vender empaquetado con Kanban como modulo unico de gestion de proyectos</t>
  </si>
  <si>
    <t xml:space="preserve">8/8</t>
  </si>
  <si>
    <t xml:space="preserve">Notas de Equipo</t>
  </si>
  <si>
    <t xml:space="preserve">Notas colaborativas y seguimiento de modificaciones</t>
  </si>
  <si>
    <t xml:space="preserve">Notas colaborativas / docs</t>
  </si>
  <si>
    <t xml:space="preserve">Notion, Coda, Evernote Teams, Slite</t>
  </si>
  <si>
    <t xml:space="preserve">Las notas se vinculan a tareas y clientes reales en vez de vivir en un documento aislado.</t>
  </si>
  <si>
    <t xml:space="preserve">Notion define la categoria y tiene una comunidad gigantesca de plantillas. Competir de frente en features de documento es una batalla perdida.</t>
  </si>
  <si>
    <t xml:space="preserve">Incluir en el core</t>
  </si>
  <si>
    <t xml:space="preserve">HTML Panel / Dashboards</t>
  </si>
  <si>
    <t xml:space="preserve">Paneles HTML personalizados (BSC, analisis estrategico)</t>
  </si>
  <si>
    <t xml:space="preserve">Dashboards y paneles embebidos</t>
  </si>
  <si>
    <t xml:space="preserve">Retool, Power BI, Tableau, Geckoboard</t>
  </si>
  <si>
    <t xml:space="preserve">Gerencia y direccion</t>
  </si>
  <si>
    <t xml:space="preserve">Los datos ya estan dentro de la suite: no hay ETL ni conectores que mantener. Power BI necesita una capa de integracion completa para llegar a lo mismo.</t>
  </si>
  <si>
    <t xml:space="preserve">Power BI a USD 14 con el peso de Microsoft detras es dificil de superar en percepcion. Requiere perfiles tecnicos para armar los paneles y eso encarece el onboarding.</t>
  </si>
  <si>
    <t xml:space="preserve">Diferenciador tecnico: modulo premium con servicios de implementacion</t>
  </si>
  <si>
    <t xml:space="preserve">FossFLOW (BPM)</t>
  </si>
  <si>
    <t xml:space="preserve">Gestion y automatizacion de procesos de negocio, con supervision por etapa</t>
  </si>
  <si>
    <t xml:space="preserve">BPM / automatizacion de procesos</t>
  </si>
  <si>
    <t xml:space="preserve">Pipefy, Kissflow, Nintex, Process Street, monday.com</t>
  </si>
  <si>
    <t xml:space="preserve">Empresas con procesos regulados</t>
  </si>
  <si>
    <t xml:space="preserve">Categoria con precios altos y competidores caros o pesados: Kissflow parte en USD 2.500/mes de plataforma y Nintex en USD 1.405. Hay mucho espacio para entrar por debajo con algo usable.</t>
  </si>
  <si>
    <t xml:space="preserve">Es el modulo mas dificil de construir bien: motor de reglas, versionado, auditoria y cumplimiento. Vender BPM exige consultoria y ciclos de venta largos.</t>
  </si>
  <si>
    <t xml:space="preserve">Modulo premium: es donde el ticket sube sin resistencia</t>
  </si>
  <si>
    <t xml:space="preserve">5/6</t>
  </si>
  <si>
    <t xml:space="preserve">Digitai (automatizacion IA)</t>
  </si>
  <si>
    <t xml:space="preserve">Gestion y automatizacion de tareas de IA y procesamiento de datos</t>
  </si>
  <si>
    <t xml:space="preserve">Automatizacion IA / orquestacion de datos</t>
  </si>
  <si>
    <t xml:space="preserve">Dify, Flowise, n8n, Relevance AI</t>
  </si>
  <si>
    <t xml:space="preserve">Equipos tecnicos</t>
  </si>
  <si>
    <t xml:space="preserve">Complementa a los Agentes con el pipeline de datos que los alimenta. Precios de referencia razonables (Dify USD 59, n8n USD 24) dejan margen.</t>
  </si>
  <si>
    <t xml:space="preserve">Se solapa fuerte con el modulo Agentes: dos productos que el cliente percibe como uno. Ademas compite contra open source gratuito y autohospedable, que es un techo de precio duro.</t>
  </si>
  <si>
    <t xml:space="preserve">Cobro por consumo; evaluar fusionarlo con Agentes</t>
  </si>
  <si>
    <t xml:space="preserve">Formularios de Contacto</t>
  </si>
  <si>
    <t xml:space="preserve">Administracion de formularios de contacto</t>
  </si>
  <si>
    <t xml:space="preserve">Formularios y captura de leads</t>
  </si>
  <si>
    <t xml:space="preserve">Typeform, Jotform, Tally, Fillout</t>
  </si>
  <si>
    <t xml:space="preserve">Marketing y ventas</t>
  </si>
  <si>
    <t xml:space="preserve">El lead entra directo al CRM sin Zapier de por medio. Typeform cobra USD 29 solo por 100 respuestas al mes.</t>
  </si>
  <si>
    <t xml:space="preserve">Tally regala respuestas ilimitadas en su plan free: el piso de precio de la categoria tiende a cero. No es un modulo del que se pueda vivir.</t>
  </si>
  <si>
    <t xml:space="preserve">Gancho de entrada freemium con limite de respuestas</t>
  </si>
  <si>
    <t xml:space="preserve">Prospeccion Comercial</t>
  </si>
  <si>
    <t xml:space="preserve">Gestion y seguimiento de prospeccion de clientes</t>
  </si>
  <si>
    <t xml:space="preserve">CRM / prospeccion de ventas</t>
  </si>
  <si>
    <t xml:space="preserve">Pipedrive, HubSpot, Apollo.io, Salesforce</t>
  </si>
  <si>
    <t xml:space="preserve">Equipos comerciales</t>
  </si>
  <si>
    <t xml:space="preserve">Es donde el cliente ya acepta pagar USD 39-100 por asiento. Integrado con Agentes Web y Formularios cierra el ciclo completo de lead a venta, algo que Pipedrive solo hace comprando add-ons.</t>
  </si>
  <si>
    <t xml:space="preserve">Categoria con costo de cambio altisimo: nadie migra su CRM a la ligera. Salesforce y HubSpot tienen ecosistemas de partners que KIMOS no puede igualar en el corto plazo.</t>
  </si>
  <si>
    <t xml:space="preserve">El modulo con mayor disposicion a pagar de toda la suite</t>
  </si>
  <si>
    <t xml:space="preserve">12/12</t>
  </si>
  <si>
    <t xml:space="preserve">Social Planner</t>
  </si>
  <si>
    <t xml:space="preserve">Planificacion de contenido en redes sociales</t>
  </si>
  <si>
    <t xml:space="preserve">Gestion y programacion de redes</t>
  </si>
  <si>
    <t xml:space="preserve">Buffer, Hootsuite, Metricool, Later, Sprout Social</t>
  </si>
  <si>
    <t xml:space="preserve">Marketing y agencias</t>
  </si>
  <si>
    <t xml:space="preserve">Junto a Kreative Studio cubre crear y publicar en un solo lugar; Buffer y Hootsuite solo publican.</t>
  </si>
  <si>
    <t xml:space="preserve">Depende de APIs de terceros (Meta, TikTok, LinkedIn) que cambian sin aviso y obligan a mantenimiento constante. Metricool a USD 18 fija un techo bajo.</t>
  </si>
  <si>
    <t xml:space="preserve">Cobrar por canal conectado, nunca por usuario</t>
  </si>
  <si>
    <t xml:space="preserve">Kreative Studio</t>
  </si>
  <si>
    <t xml:space="preserve">Creacion de contenido visual: posts, banners, logos y material grafico</t>
  </si>
  <si>
    <t xml:space="preserve">Diseno grafico / contenido visual</t>
  </si>
  <si>
    <t xml:space="preserve">Canva, Adobe Express, Figma, VistaCreate</t>
  </si>
  <si>
    <t xml:space="preserve">Marketing y disenadores</t>
  </si>
  <si>
    <t xml:space="preserve">El diseno conectado al catalogo de productos y al calendario de publicacion es un flujo que Canva no tiene cerrado.</t>
  </si>
  <si>
    <t xml:space="preserve">Canva tiene 200+ millones de usuarios, una biblioteca de plantillas imposible de replicar y cobra USD 10. Competir en features de diseno puro no es realista.</t>
  </si>
  <si>
    <t xml:space="preserve">Vender junto a Social Planner como paquete de marketing</t>
  </si>
  <si>
    <t xml:space="preserve">3/4</t>
  </si>
  <si>
    <t xml:space="preserve">Kimos FunPlai (gamificacion)</t>
  </si>
  <si>
    <t xml:space="preserve">Gamificacion y experiencias interactivas: juegos, concursos y actividades ludicas</t>
  </si>
  <si>
    <t xml:space="preserve">Gamificacion y engagement</t>
  </si>
  <si>
    <t xml:space="preserve">Kahoot!, Spinify, Mentimeter, TalentLMS, Gametize</t>
  </si>
  <si>
    <t xml:space="preserve">RRHH, marketing y eventos</t>
  </si>
  <si>
    <t xml:space="preserve">Categoria fragmentada y sin lider claro en el mundo hispano. Conectado a Equipos y Eventos permite gamificar procesos internos reales, no solo trivias sueltas.</t>
  </si>
  <si>
    <t xml:space="preserve">Uso episodico: la gente lo usa para una campana y lo abandona, lo que produce churn alto si se cobra mensual. Kahoot domina el reconocimiento de marca en lo educativo.</t>
  </si>
  <si>
    <t xml:space="preserve">Add-on por campana o por evento, no suscripcion mensual fija</t>
  </si>
  <si>
    <t xml:space="preserve">4/6</t>
  </si>
  <si>
    <t xml:space="preserve">ProductLab</t>
  </si>
  <si>
    <t xml:space="preserve">Gestion de producto, investigacion y desarrollo</t>
  </si>
  <si>
    <t xml:space="preserve">Product management / roadmap</t>
  </si>
  <si>
    <t xml:space="preserve">Productboard, Aha!, Airfocus, Jira Product Discovery</t>
  </si>
  <si>
    <t xml:space="preserve">Empresas con equipo de producto</t>
  </si>
  <si>
    <t xml:space="preserve">Precios de referencia altos (Productboard Pro USD 80, Aha! USD 59) y competidores percibidos como caros y complejos.</t>
  </si>
  <si>
    <t xml:space="preserve">Nicho estrecho: solo lo compran empresas con equipo de producto formal. En Latinoamerica ese perfil es escaso y alarga el ciclo de venta.</t>
  </si>
  <si>
    <t xml:space="preserve">Nicho de ticket alto: pocos asientos, precio elevado por asiento</t>
  </si>
  <si>
    <t xml:space="preserve">Productos (PIM)</t>
  </si>
  <si>
    <t xml:space="preserve">Gestion de catalogos de productos</t>
  </si>
  <si>
    <t xml:space="preserve">PIM / catalogo de productos</t>
  </si>
  <si>
    <t xml:space="preserve">Plytix, Akeneo, Salsify, Sales Layer</t>
  </si>
  <si>
    <t xml:space="preserve">Retail, distribucion y manufactura</t>
  </si>
  <si>
    <t xml:space="preserve">La brecha de precio es enorme: Plytix cobra USD 499 y Akeneo parte en USD 45.000 al ano. Integrado con Tienda y Vitrina, KIMOS cubre el ciclo entero que Plytix vende como add-ons de USD 300 cada uno.</t>
  </si>
  <si>
    <t xml:space="preserve">PIM es intensivo en calidad de datos y migracion: el proyecto se juega en la implementacion, no en el software. Exige un equipo de soporte tecnico solido.</t>
  </si>
  <si>
    <t xml:space="preserve">Tarifa plana por volumen de SKU con asientos ilimitados</t>
  </si>
  <si>
    <t xml:space="preserve">Tienda (e-commerce)</t>
  </si>
  <si>
    <t xml:space="preserve">Tienda en linea</t>
  </si>
  <si>
    <t xml:space="preserve">E-commerce / storefront</t>
  </si>
  <si>
    <t xml:space="preserve">Shopify, BigCommerce, Wix, WooCommerce</t>
  </si>
  <si>
    <t xml:space="preserve">Retail y PyMEs con venta online</t>
  </si>
  <si>
    <t xml:space="preserve">Con PIM y Vitrina integrados, la tienda se alimenta sola desde el catalogo maestro.</t>
  </si>
  <si>
    <t xml:space="preserve">Shopify es un monopolio blando con un app store de miles de integraciones. Sin ese ecosistema, la tienda de KIMOS sera funcionalmente mas pobre por varios anos. Recomendacion honesta: integrarse con Shopify antes que competirle.</t>
  </si>
  <si>
    <t xml:space="preserve">Tarifa plana; evaluar comision sobre GMV solo en tiers bajos</t>
  </si>
  <si>
    <t xml:space="preserve">Vitrina (catalogo digital)</t>
  </si>
  <si>
    <t xml:space="preserve">Vitrina publica de productos y marca</t>
  </si>
  <si>
    <t xml:space="preserve">Catalogo digital / brand portal</t>
  </si>
  <si>
    <t xml:space="preserve">Linktree, Flipsnack, Plytix Brand Portals</t>
  </si>
  <si>
    <t xml:space="preserve">Retail y marcas</t>
  </si>
  <si>
    <t xml:space="preserve">Plytix cobra USD 300 por el mismo add-on. Como complemento del PIM es margen casi puro.</t>
  </si>
  <si>
    <t xml:space="preserve">Es una feature, no un producto: nadie contrata una suite por su vitrina. Vendida suelta compite con Linktree a USD 9.</t>
  </si>
  <si>
    <t xml:space="preserve">Add-on economico sobre Productos o Tienda</t>
  </si>
  <si>
    <t xml:space="preserve">1/5</t>
  </si>
  <si>
    <t xml:space="preserve">KIMOS Cashflow</t>
  </si>
  <si>
    <t xml:space="preserve">Gestion del flujo de caja</t>
  </si>
  <si>
    <t xml:space="preserve">Gestion y proyeccion de flujo de caja</t>
  </si>
  <si>
    <t xml:space="preserve">Float, Fathom, Agicap, Dryrun</t>
  </si>
  <si>
    <t xml:space="preserve">Gerencia financiera y PyMEs</t>
  </si>
  <si>
    <t xml:space="preserve">Categoria con precios sanos (Float USD 49-199, Fathom hasta USD 260) y competidores extranjeros con poca adaptacion tributaria local.</t>
  </si>
  <si>
    <t xml:space="preserve">Exige integracion con bancos y ERPs locales para ser util de verdad, y eso es trabajo pais por pais. Sin conciliacion automatica queda en una planilla bonita.</t>
  </si>
  <si>
    <t xml:space="preserve">Tarifa plana por empresa, nunca por usuario</t>
  </si>
  <si>
    <t xml:space="preserve">Gestion de Eventos</t>
  </si>
  <si>
    <t xml:space="preserve">Gestion de eventos corporativos (Desayuno Ciberseguridad 2026)</t>
  </si>
  <si>
    <t xml:space="preserve">Gestion de eventos</t>
  </si>
  <si>
    <t xml:space="preserve">Luma, Eventbrite, Bizzabo, Cvent</t>
  </si>
  <si>
    <t xml:space="preserve">Marketing corporativo</t>
  </si>
  <si>
    <t xml:space="preserve">El evento se conecta al CRM y a los formularios: los asistentes se vuelven leads automaticamente. Bizzabo cobra USD 499 por usuario para hacer eso mismo.</t>
  </si>
  <si>
    <t xml:space="preserve">Uso estacional con churn natural. Luma es gratis y muy bueno para eventos chicos, lo que aplasta el precio en el segmento de entrada.</t>
  </si>
  <si>
    <t xml:space="preserve">Cobrar por evento o campana, no como suscripcion mensual</t>
  </si>
  <si>
    <t xml:space="preserve">3/5</t>
  </si>
  <si>
    <t xml:space="preserve">Integraciones</t>
  </si>
  <si>
    <t xml:space="preserve">Conexion con sistemas externos</t>
  </si>
  <si>
    <t xml:space="preserve">iPaaS / automatizacion</t>
  </si>
  <si>
    <t xml:space="preserve">Zapier, Make, n8n</t>
  </si>
  <si>
    <t xml:space="preserve">Al vivir dentro de la suite evita el costo de conectar cada app entre si, que es justamente el problema que Zapier existe para resolver.</t>
  </si>
  <si>
    <t xml:space="preserve">Make cobra USD 9 por 10.000 operaciones y n8n es gratis autohospedado. El techo de precio es muy bajo y el valor solo aparece hacia afuera de la suite.</t>
  </si>
  <si>
    <t xml:space="preserve">Incluir en el core y cobrar por volumen de ejecuciones</t>
  </si>
  <si>
    <t xml:space="preserve">4/4</t>
  </si>
  <si>
    <t xml:space="preserve">Modulos de plataforma (Apariencia, Configuracion, Seguridad, Usuarios): parte del core, sin precio de mercado comparable.</t>
  </si>
  <si>
    <t xml:space="preserve">Detalle de precios de la competencia</t>
  </si>
  <si>
    <t xml:space="preserve">Precio de lista publicado. La columna G normaliza todo al cliente tipo para comparar manzanas con manzanas.</t>
  </si>
  <si>
    <t xml:space="preserve">Competidor</t>
  </si>
  <si>
    <t xml:space="preserve">Plan</t>
  </si>
  <si>
    <t xml:space="preserve">Precio (USD/mes)</t>
  </si>
  <si>
    <t xml:space="preserve">Unidad de cobro</t>
  </si>
  <si>
    <t xml:space="preserve">Multiplicador</t>
  </si>
  <si>
    <t xml:space="preserve">Costo mensual cliente tipo</t>
  </si>
  <si>
    <t xml:space="preserve">Segmento</t>
  </si>
  <si>
    <t xml:space="preserve">Notas</t>
  </si>
  <si>
    <t xml:space="preserve">Fuente</t>
  </si>
  <si>
    <t xml:space="preserve">ChatGPT Business</t>
  </si>
  <si>
    <t xml:space="preserve">Business</t>
  </si>
  <si>
    <t xml:space="preserve">PyME / Empresa</t>
  </si>
  <si>
    <t xml:space="preserve">Enterprise ~USD 60/asiento</t>
  </si>
  <si>
    <t xml:space="preserve">coworker.ai/blog/chatgpt-enterprise-pricing</t>
  </si>
  <si>
    <t xml:space="preserve">Verificado</t>
  </si>
  <si>
    <t xml:space="preserve">ChatGPT Team</t>
  </si>
  <si>
    <t xml:space="preserve">Team</t>
  </si>
  <si>
    <t xml:space="preserve">Claude Team</t>
  </si>
  <si>
    <t xml:space="preserve">Minimo 5 asientos</t>
  </si>
  <si>
    <t xml:space="preserve">fusioncomputing.ca/copilot-vs-chatgpt-vs-claude</t>
  </si>
  <si>
    <t xml:space="preserve">Microsoft 365 Copilot</t>
  </si>
  <si>
    <t xml:space="preserve">USD 18 promocional hasta sep-2026; exige licencia M365</t>
  </si>
  <si>
    <t xml:space="preserve">geotoolbox.ai/blog/copilot-pricing</t>
  </si>
  <si>
    <t xml:space="preserve">Manus</t>
  </si>
  <si>
    <t xml:space="preserve">Starter</t>
  </si>
  <si>
    <t xml:space="preserve">Plano</t>
  </si>
  <si>
    <t xml:space="preserve">Agente autonomo por creditos</t>
  </si>
  <si>
    <t xml:space="preserve">manus.im/pricing</t>
  </si>
  <si>
    <t xml:space="preserve">Estimado</t>
  </si>
  <si>
    <t xml:space="preserve">Zapier</t>
  </si>
  <si>
    <t xml:space="preserve">Professional</t>
  </si>
  <si>
    <t xml:space="preserve">Free con 100 tareas/mes</t>
  </si>
  <si>
    <t xml:space="preserve">lindy.ai/blog/zapier-pricing</t>
  </si>
  <si>
    <t xml:space="preserve">Usuarios ilimitados</t>
  </si>
  <si>
    <t xml:space="preserve">Lindy</t>
  </si>
  <si>
    <t xml:space="preserve">Plus</t>
  </si>
  <si>
    <t xml:space="preserve">Cobro por creditos, sobreconsumo al doble</t>
  </si>
  <si>
    <t xml:space="preserve">coworker.ai/blog/lindy-ai-pricing</t>
  </si>
  <si>
    <t xml:space="preserve">Pro</t>
  </si>
  <si>
    <t xml:space="preserve">Max</t>
  </si>
  <si>
    <t xml:space="preserve">Notion</t>
  </si>
  <si>
    <t xml:space="preserve">Business (Agents)</t>
  </si>
  <si>
    <t xml:space="preserve">Agentes custom: USD 10 / 1.000 creditos</t>
  </si>
  <si>
    <t xml:space="preserve">notion.com/pricing</t>
  </si>
  <si>
    <t xml:space="preserve">Tidio</t>
  </si>
  <si>
    <t xml:space="preserve">Pago anual</t>
  </si>
  <si>
    <t xml:space="preserve">tidio.com/pricing</t>
  </si>
  <si>
    <t xml:space="preserve">Growth</t>
  </si>
  <si>
    <t xml:space="preserve">Intercom</t>
  </si>
  <si>
    <t xml:space="preserve">Essential</t>
  </si>
  <si>
    <t xml:space="preserve">Fin AI: USD 0,99 por resolucion</t>
  </si>
  <si>
    <t xml:space="preserve">flowgent.ai/blog/intercom-chatbot-pricing-guide-and-comparison</t>
  </si>
  <si>
    <t xml:space="preserve">Advanced</t>
  </si>
  <si>
    <t xml:space="preserve">Incluye 20 asientos Lite</t>
  </si>
  <si>
    <t xml:space="preserve">Expert</t>
  </si>
  <si>
    <t xml:space="preserve">Chatbase</t>
  </si>
  <si>
    <t xml:space="preserve">Standard</t>
  </si>
  <si>
    <t xml:space="preserve">4.000 creditos; sobrecosto USD 40/1.000</t>
  </si>
  <si>
    <t xml:space="preserve">blog.fastbots.ai/ai-chatbot-pricing-comparison</t>
  </si>
  <si>
    <t xml:space="preserve">Crisp</t>
  </si>
  <si>
    <t xml:space="preserve">Essentials</t>
  </si>
  <si>
    <t xml:space="preserve">EUR 95 convertidos</t>
  </si>
  <si>
    <t xml:space="preserve">featurebase.app/blog/crisp-vs-intercom</t>
  </si>
  <si>
    <t xml:space="preserve">ManyChat</t>
  </si>
  <si>
    <t xml:space="preserve">250 contactos activos; USD 139 con 25.000</t>
  </si>
  <si>
    <t xml:space="preserve">elfsight.com/blog/how-much-does-a-chatbot-cost</t>
  </si>
  <si>
    <t xml:space="preserve">Google Workspace</t>
  </si>
  <si>
    <t xml:space="preserve">Business Starter</t>
  </si>
  <si>
    <t xml:space="preserve">30 GB por usuario</t>
  </si>
  <si>
    <t xml:space="preserve">workspace.google.com/pricing</t>
  </si>
  <si>
    <t xml:space="preserve">Business Standard</t>
  </si>
  <si>
    <t xml:space="preserve">2 TB por usuario</t>
  </si>
  <si>
    <t xml:space="preserve">Business Plus</t>
  </si>
  <si>
    <t xml:space="preserve">5 TB por usuario</t>
  </si>
  <si>
    <t xml:space="preserve">Dropbox Business</t>
  </si>
  <si>
    <t xml:space="preserve">5 TB compartidos</t>
  </si>
  <si>
    <t xml:space="preserve">costbench.com/software/document-management/dropbox-business</t>
  </si>
  <si>
    <t xml:space="preserve">Almacenamiento ilimitado</t>
  </si>
  <si>
    <t xml:space="preserve">Egnyte</t>
  </si>
  <si>
    <t xml:space="preserve">egnyte.com/pricing</t>
  </si>
  <si>
    <t xml:space="preserve">Box</t>
  </si>
  <si>
    <t xml:space="preserve">USD 25 con pago mensual</t>
  </si>
  <si>
    <t xml:space="preserve">bestcloudstorageguide.com/blog/box-pricing</t>
  </si>
  <si>
    <t xml:space="preserve">Confluence</t>
  </si>
  <si>
    <t xml:space="preserve">docsie.io/blog/articles/confluence-vs-document360-pricing-comparison-2026</t>
  </si>
  <si>
    <t xml:space="preserve">Guru</t>
  </si>
  <si>
    <t xml:space="preserve">All-in-one</t>
  </si>
  <si>
    <t xml:space="preserve">Minimo 10 asientos</t>
  </si>
  <si>
    <t xml:space="preserve">usecarly.com/blog/guru-alternatives</t>
  </si>
  <si>
    <t xml:space="preserve">Slite</t>
  </si>
  <si>
    <t xml:space="preserve">slite.com/learn/knowledge-base-softwares</t>
  </si>
  <si>
    <t xml:space="preserve">Incluye Enterprise Search</t>
  </si>
  <si>
    <t xml:space="preserve">Document360</t>
  </si>
  <si>
    <t xml:space="preserve">Rango 199-499 segun uso de IA</t>
  </si>
  <si>
    <t xml:space="preserve">Slack</t>
  </si>
  <si>
    <t xml:space="preserve">costbench.com/software/communication/slack</t>
  </si>
  <si>
    <t xml:space="preserve">Business+</t>
  </si>
  <si>
    <t xml:space="preserve">Microsoft Teams</t>
  </si>
  <si>
    <t xml:space="preserve">Sube a USD 4,50 en jul-2026</t>
  </si>
  <si>
    <t xml:space="preserve">getpricepulse.com/companies/slack-vs-microsoft-teams-pricing</t>
  </si>
  <si>
    <t xml:space="preserve">Microsoft 365</t>
  </si>
  <si>
    <t xml:space="preserve">Business Basic</t>
  </si>
  <si>
    <t xml:space="preserve">Teams + Office web</t>
  </si>
  <si>
    <t xml:space="preserve">Incluye Office escritorio</t>
  </si>
  <si>
    <t xml:space="preserve">Trello</t>
  </si>
  <si>
    <t xml:space="preserve">costbench.com/software/project-management/trello</t>
  </si>
  <si>
    <t xml:space="preserve">Premium</t>
  </si>
  <si>
    <t xml:space="preserve">Enterprise</t>
  </si>
  <si>
    <t xml:space="preserve">Minimo 50 asientos</t>
  </si>
  <si>
    <t xml:space="preserve">ClickUp</t>
  </si>
  <si>
    <t xml:space="preserve">Unlimited</t>
  </si>
  <si>
    <t xml:space="preserve">layer3labs.io/guides/clickup-pricing</t>
  </si>
  <si>
    <t xml:space="preserve">Monday.com</t>
  </si>
  <si>
    <t xml:space="preserve">Basic</t>
  </si>
  <si>
    <t xml:space="preserve">Minimo 3 asientos</t>
  </si>
  <si>
    <t xml:space="preserve">softwarefinder.com/resources/trello-vs-asana-vs-monday-vs-clickup</t>
  </si>
  <si>
    <t xml:space="preserve">Asana</t>
  </si>
  <si>
    <t xml:space="preserve">Se factura en bloques de 5</t>
  </si>
  <si>
    <t xml:space="preserve">plutio.com/compare/asana-vs-wrike</t>
  </si>
  <si>
    <t xml:space="preserve">Smartsheet</t>
  </si>
  <si>
    <t xml:space="preserve">tech.co/project-management-software/smartsheet-pricing</t>
  </si>
  <si>
    <t xml:space="preserve">Wrike</t>
  </si>
  <si>
    <t xml:space="preserve">2 a 15 usuarios</t>
  </si>
  <si>
    <t xml:space="preserve">costbench.com/software/project-management/wrike</t>
  </si>
  <si>
    <t xml:space="preserve">Microsoft Project</t>
  </si>
  <si>
    <t xml:space="preserve">Plan 1</t>
  </si>
  <si>
    <t xml:space="preserve">techrepublic.com/article/microsoft-project-vs-smartsheet</t>
  </si>
  <si>
    <t xml:space="preserve">Plan 3</t>
  </si>
  <si>
    <t xml:space="preserve">Tier real para gestion de recursos</t>
  </si>
  <si>
    <t xml:space="preserve">Instagantt</t>
  </si>
  <si>
    <t xml:space="preserve">USD 240/ano, 3 colaboradores incluidos</t>
  </si>
  <si>
    <t xml:space="preserve">wrike.com/blog/best-gantt-chart-software-online</t>
  </si>
  <si>
    <t xml:space="preserve">TeamGantt</t>
  </si>
  <si>
    <t xml:space="preserve">Lite</t>
  </si>
  <si>
    <t xml:space="preserve">spotsaas.com/compare/teamgantt-vs-wrike</t>
  </si>
  <si>
    <t xml:space="preserve">Coda</t>
  </si>
  <si>
    <t xml:space="preserve">Solo Doc Makers pagan</t>
  </si>
  <si>
    <t xml:space="preserve">vendr.com/marketplace/coda</t>
  </si>
  <si>
    <t xml:space="preserve">Retool</t>
  </si>
  <si>
    <t xml:space="preserve">Mas USD 5 por usuario interno</t>
  </si>
  <si>
    <t xml:space="preserve">jetadmin.io/blog/retool-pricing-explained-2026</t>
  </si>
  <si>
    <t xml:space="preserve">Mas USD 15 por usuario interno</t>
  </si>
  <si>
    <t xml:space="preserve">Power BI</t>
  </si>
  <si>
    <t xml:space="preserve">toucantoco.com/en/blog/power-bi-pricing</t>
  </si>
  <si>
    <t xml:space="preserve">Premium por usuario</t>
  </si>
  <si>
    <t xml:space="preserve">Tableau</t>
  </si>
  <si>
    <t xml:space="preserve">Viewer</t>
  </si>
  <si>
    <t xml:space="preserve">costbench.com/software/business-intelligence/tableau</t>
  </si>
  <si>
    <t xml:space="preserve">Creator</t>
  </si>
  <si>
    <t xml:space="preserve">Geckoboard</t>
  </si>
  <si>
    <t xml:space="preserve">itqlick.com/geckoboard/pricing</t>
  </si>
  <si>
    <t xml:space="preserve">Pipefy</t>
  </si>
  <si>
    <t xml:space="preserve">Free hasta 10 usuarios y 5 procesos</t>
  </si>
  <si>
    <t xml:space="preserve">aiproductivity.ai/blog/cflow-vs-kissflow-vs-pipefy</t>
  </si>
  <si>
    <t xml:space="preserve">Kissflow</t>
  </si>
  <si>
    <t xml:space="preserve">checkthat.ai/brands/kissflow/pricing</t>
  </si>
  <si>
    <t xml:space="preserve">Process Street</t>
  </si>
  <si>
    <t xml:space="preserve">Startup</t>
  </si>
  <si>
    <t xml:space="preserve">process.st/pricing</t>
  </si>
  <si>
    <t xml:space="preserve">monday.com</t>
  </si>
  <si>
    <t xml:space="preserve">Usado como plataforma de workflow</t>
  </si>
  <si>
    <t xml:space="preserve">moxo.com/blog/best-business-process-management-software</t>
  </si>
  <si>
    <t xml:space="preserve">Basic (plataforma)</t>
  </si>
  <si>
    <t xml:space="preserve">Subio desde USD 1.500 en 2025</t>
  </si>
  <si>
    <t xml:space="preserve">Nintex</t>
  </si>
  <si>
    <t xml:space="preserve">spotsaas.com/compare/kissflow-vs-nintex</t>
  </si>
  <si>
    <t xml:space="preserve">Dify</t>
  </si>
  <si>
    <t xml:space="preserve">5.000 creditos de mensajes</t>
  </si>
  <si>
    <t xml:space="preserve">checkthat.ai/brands/dify/pricing</t>
  </si>
  <si>
    <t xml:space="preserve">10.000 creditos</t>
  </si>
  <si>
    <t xml:space="preserve">Flowise</t>
  </si>
  <si>
    <t xml:space="preserve">Open source, self-host gratis</t>
  </si>
  <si>
    <t xml:space="preserve">opentools.ai/tools/flowiseai</t>
  </si>
  <si>
    <t xml:space="preserve">n8n</t>
  </si>
  <si>
    <t xml:space="preserve">Self-host gratis</t>
  </si>
  <si>
    <t xml:space="preserve">lindy.ai/blog/n8n-pricing</t>
  </si>
  <si>
    <t xml:space="preserve">Relevance AI</t>
  </si>
  <si>
    <t xml:space="preserve">relevanceai.com/pricing</t>
  </si>
  <si>
    <t xml:space="preserve">Typeform</t>
  </si>
  <si>
    <t xml:space="preserve">100 respuestas/mes</t>
  </si>
  <si>
    <t xml:space="preserve">stackcoast.com/typeform-vs-jotform-vs-tally</t>
  </si>
  <si>
    <t xml:space="preserve">1.000 respuestas/mes</t>
  </si>
  <si>
    <t xml:space="preserve">10.000 respuestas/mes</t>
  </si>
  <si>
    <t xml:space="preserve">Jotform</t>
  </si>
  <si>
    <t xml:space="preserve">Bronze</t>
  </si>
  <si>
    <t xml:space="preserve">Gold</t>
  </si>
  <si>
    <t xml:space="preserve">Tally</t>
  </si>
  <si>
    <t xml:space="preserve">Pago anual; free con respuestas ilimitadas</t>
  </si>
  <si>
    <t xml:space="preserve">formmate.app/blog/typeform-vs-tally</t>
  </si>
  <si>
    <t xml:space="preserve">Fillout</t>
  </si>
  <si>
    <t xml:space="preserve">customjs.space/blog/best-form-builders-automation-2026</t>
  </si>
  <si>
    <t xml:space="preserve">Respuestas ilimitadas</t>
  </si>
  <si>
    <t xml:space="preserve">Pipedrive</t>
  </si>
  <si>
    <t xml:space="preserve">pipedrive.com/en/pricing</t>
  </si>
  <si>
    <t xml:space="preserve">Ultimate</t>
  </si>
  <si>
    <t xml:space="preserve">HubSpot Sales Hub</t>
  </si>
  <si>
    <t xml:space="preserve">USD 20 con pago mensual</t>
  </si>
  <si>
    <t xml:space="preserve">docket.io/resources/research/hubspot-sales-hub-pricing</t>
  </si>
  <si>
    <t xml:space="preserve">Mas USD 1.500 de onboarding</t>
  </si>
  <si>
    <t xml:space="preserve">Apollo.io</t>
  </si>
  <si>
    <t xml:space="preserve">salesmotion.io/blog/apollo-pricing</t>
  </si>
  <si>
    <t xml:space="preserve">Organization</t>
  </si>
  <si>
    <t xml:space="preserve">Lusha</t>
  </si>
  <si>
    <t xml:space="preserve">cognism.com/blog/apollo-io-pricing</t>
  </si>
  <si>
    <t xml:space="preserve">Salesforce</t>
  </si>
  <si>
    <t xml:space="preserve">Starter Suite</t>
  </si>
  <si>
    <t xml:space="preserve">salesforce.com/sales/pricing</t>
  </si>
  <si>
    <t xml:space="preserve">Pro Suite</t>
  </si>
  <si>
    <t xml:space="preserve">Subio 6% en ago-2025</t>
  </si>
  <si>
    <t xml:space="preserve">Buffer</t>
  </si>
  <si>
    <t xml:space="preserve">Por canal</t>
  </si>
  <si>
    <t xml:space="preserve">buffer.com/pricing</t>
  </si>
  <si>
    <t xml:space="preserve">Hootsuite</t>
  </si>
  <si>
    <t xml:space="preserve">superdirector.app/compare/sprout-social-vs-hootsuite-vs-later</t>
  </si>
  <si>
    <t xml:space="preserve">Rango 199-399</t>
  </si>
  <si>
    <t xml:space="preserve">Metricool</t>
  </si>
  <si>
    <t xml:space="preserve">Pago anual; USD 22 mensual</t>
  </si>
  <si>
    <t xml:space="preserve">checkthat.ai/brands/metricool/pricing</t>
  </si>
  <si>
    <t xml:space="preserve">Later</t>
  </si>
  <si>
    <t xml:space="preserve">later.com/blog/social-media-scheduling-tools</t>
  </si>
  <si>
    <t xml:space="preserve">Sprout Social</t>
  </si>
  <si>
    <t xml:space="preserve">planifyapps.com/compare/metricool-vs-sprout-social</t>
  </si>
  <si>
    <t xml:space="preserve">Canva</t>
  </si>
  <si>
    <t xml:space="preserve">Teams</t>
  </si>
  <si>
    <t xml:space="preserve">Pago anual, minimo 3 asientos; USD 20 mensual</t>
  </si>
  <si>
    <t xml:space="preserve">canvapricing.com</t>
  </si>
  <si>
    <t xml:space="preserve">Adobe Express</t>
  </si>
  <si>
    <t xml:space="preserve">USD 4,99 el primer ano</t>
  </si>
  <si>
    <t xml:space="preserve">insidepro360.com/en/saas-tools/canva-vs-adobe-express-vs-figma</t>
  </si>
  <si>
    <t xml:space="preserve">Figma</t>
  </si>
  <si>
    <t xml:space="preserve">Rango 12-60 segun tipo de asiento</t>
  </si>
  <si>
    <t xml:space="preserve">match-vs.com/en/blog/best-design-tools</t>
  </si>
  <si>
    <t xml:space="preserve">VistaCreate</t>
  </si>
  <si>
    <t xml:space="preserve">create.vista.com/pricing</t>
  </si>
  <si>
    <t xml:space="preserve">Kahoot!</t>
  </si>
  <si>
    <t xml:space="preserve">Paid</t>
  </si>
  <si>
    <t xml:space="preserve">Desde USD 10; free hasta 25 asistentes</t>
  </si>
  <si>
    <t xml:space="preserve">saasworthy.com/product/kahoot/pricing</t>
  </si>
  <si>
    <t xml:space="preserve">Spinify</t>
  </si>
  <si>
    <t xml:space="preserve">capterra.com/p/155500/Spinify</t>
  </si>
  <si>
    <t xml:space="preserve">TalentLMS</t>
  </si>
  <si>
    <t xml:space="preserve">Core</t>
  </si>
  <si>
    <t xml:space="preserve">Insignias, puntos y rankings</t>
  </si>
  <si>
    <t xml:space="preserve">coursebox.ai/blog/gamified-learning-platforms</t>
  </si>
  <si>
    <t xml:space="preserve">Mentimeter</t>
  </si>
  <si>
    <t xml:space="preserve">mentimeter.com/plans</t>
  </si>
  <si>
    <t xml:space="preserve">Gametize</t>
  </si>
  <si>
    <t xml:space="preserve">capterra.com/p/186453/Gametize</t>
  </si>
  <si>
    <t xml:space="preserve">Productboard</t>
  </si>
  <si>
    <t xml:space="preserve">Por maker</t>
  </si>
  <si>
    <t xml:space="preserve">blog.buildbetter.ai/best-ai-product-roadmap-tools</t>
  </si>
  <si>
    <t xml:space="preserve">Aha!</t>
  </si>
  <si>
    <t xml:space="preserve">Discovery</t>
  </si>
  <si>
    <t xml:space="preserve">productlift.dev/blog/aha-pricing</t>
  </si>
  <si>
    <t xml:space="preserve">Roadmaps</t>
  </si>
  <si>
    <t xml:space="preserve">Airfocus</t>
  </si>
  <si>
    <t xml:space="preserve">ideaplan.io/alternatives/airfocus</t>
  </si>
  <si>
    <t xml:space="preserve">Jira Product Discovery</t>
  </si>
  <si>
    <t xml:space="preserve">Solo creadores facturan</t>
  </si>
  <si>
    <t xml:space="preserve">featurebase.app/blog/jira-product-discovery-pricing</t>
  </si>
  <si>
    <t xml:space="preserve">Plytix</t>
  </si>
  <si>
    <t xml:space="preserve">50.000 SKU, asientos ilimitados</t>
  </si>
  <si>
    <t xml:space="preserve">plytix.com/pricing</t>
  </si>
  <si>
    <t xml:space="preserve">Brand Portals add-on</t>
  </si>
  <si>
    <t xml:space="preserve">Sales Layer</t>
  </si>
  <si>
    <t xml:space="preserve">saleslayer.com/pricing</t>
  </si>
  <si>
    <t xml:space="preserve">Akeneo</t>
  </si>
  <si>
    <t xml:space="preserve">Growth SaaS</t>
  </si>
  <si>
    <t xml:space="preserve">USD 45.000/ano</t>
  </si>
  <si>
    <t xml:space="preserve">piminto.com/blog/akeneo-pricing</t>
  </si>
  <si>
    <t xml:space="preserve">Salsify</t>
  </si>
  <si>
    <t xml:space="preserve">USD 75.000/ano piso</t>
  </si>
  <si>
    <t xml:space="preserve">pimworks.io/blog/salsify-vs-akeneo</t>
  </si>
  <si>
    <t xml:space="preserve">Shopify</t>
  </si>
  <si>
    <t xml:space="preserve">Mas comisiones de pago</t>
  </si>
  <si>
    <t xml:space="preserve">shopify.com/pricing</t>
  </si>
  <si>
    <t xml:space="preserve">Grow</t>
  </si>
  <si>
    <t xml:space="preserve">BigCommerce</t>
  </si>
  <si>
    <t xml:space="preserve">Tope por volumen de ventas anual</t>
  </si>
  <si>
    <t xml:space="preserve">getathenic.com/blog/best-ecommerce-platform-comparison-2026</t>
  </si>
  <si>
    <t xml:space="preserve">Wix</t>
  </si>
  <si>
    <t xml:space="preserve">websitebuilderexpert.com/ecommerce-website-builders/comparisons/wix-vs-shopify</t>
  </si>
  <si>
    <t xml:space="preserve">Business Elite</t>
  </si>
  <si>
    <t xml:space="preserve">Linktree</t>
  </si>
  <si>
    <t xml:space="preserve">linktr.ee/pricing</t>
  </si>
  <si>
    <t xml:space="preserve">Flipsnack</t>
  </si>
  <si>
    <t xml:space="preserve">flipsnack.com/pricing</t>
  </si>
  <si>
    <t xml:space="preserve">Brand Portals</t>
  </si>
  <si>
    <t xml:space="preserve">Add-on sobre plan PIM</t>
  </si>
  <si>
    <t xml:space="preserve">Float</t>
  </si>
  <si>
    <t xml:space="preserve">spotsaas.com/compare/agicap-vs-moneto-vs-floatapp</t>
  </si>
  <si>
    <t xml:space="preserve">Fathom</t>
  </si>
  <si>
    <t xml:space="preserve">Por modulo</t>
  </si>
  <si>
    <t xml:space="preserve">capterra.com/p/136476/Fathom</t>
  </si>
  <si>
    <t xml:space="preserve">Silver</t>
  </si>
  <si>
    <t xml:space="preserve">Agicap</t>
  </si>
  <si>
    <t xml:space="preserve">Precio bajo cotizacion, no publicado</t>
  </si>
  <si>
    <t xml:space="preserve">g2.com/products/agicap/pricing</t>
  </si>
  <si>
    <t xml:space="preserve">Luma</t>
  </si>
  <si>
    <t xml:space="preserve">0% comision; free con 5%</t>
  </si>
  <si>
    <t xml:space="preserve">spotsaas.com/compare/luma-vs-eventbrite</t>
  </si>
  <si>
    <t xml:space="preserve">Eventbrite</t>
  </si>
  <si>
    <t xml:space="preserve">Mas 3,7% + USD 1,79 por ticket</t>
  </si>
  <si>
    <t xml:space="preserve">stackscored.com/pricing/event-management</t>
  </si>
  <si>
    <t xml:space="preserve">Dryfta</t>
  </si>
  <si>
    <t xml:space="preserve">dryfta.com/pricing</t>
  </si>
  <si>
    <t xml:space="preserve">Bizzabo</t>
  </si>
  <si>
    <t xml:space="preserve">Event Experience OS</t>
  </si>
  <si>
    <t xml:space="preserve">Minimo 3 usuarios = USD 17.999/ano</t>
  </si>
  <si>
    <t xml:space="preserve">Cvent</t>
  </si>
  <si>
    <t xml:space="preserve">USD 50.000/ano piso estimado</t>
  </si>
  <si>
    <t xml:space="preserve">Make</t>
  </si>
  <si>
    <t xml:space="preserve">10.000 operaciones</t>
  </si>
  <si>
    <t xml:space="preserve">automationatlas.io/guides/zapier-vs-make-n8n-comparison</t>
  </si>
  <si>
    <t xml:space="preserve">Los planes marcados 'Enterprise' se excluyen del calculo de la mediana: son de otro segmento y distorsionan el precio de referencia.</t>
  </si>
  <si>
    <t xml:space="preserve">Modelo de suscripcion sugerido</t>
  </si>
  <si>
    <t xml:space="preserve">Precio a la carta, planes por tamano de empresa y kits por necesidad. Todo se recalcula desde Supuestos.</t>
  </si>
  <si>
    <t xml:space="preserve">1. Precio a la carta (modulo suelto)</t>
  </si>
  <si>
    <t xml:space="preserve">Modulo</t>
  </si>
  <si>
    <t xml:space="preserve">Precio sugerido (USD/mes)</t>
  </si>
  <si>
    <t xml:space="preserve">Mediana del mercado</t>
  </si>
  <si>
    <t xml:space="preserve">Posicion vs mercado</t>
  </si>
  <si>
    <t xml:space="preserve">TOTAL suite completa a la carta</t>
  </si>
  <si>
    <t xml:space="preserve">2. Planes por tamano de empresa</t>
  </si>
  <si>
    <t xml:space="preserve">Plan / Kit</t>
  </si>
  <si>
    <t xml:space="preserve">Para quien es</t>
  </si>
  <si>
    <t xml:space="preserve">Que incluye</t>
  </si>
  <si>
    <t xml:space="preserve">Suma a la carta</t>
  </si>
  <si>
    <t xml:space="preserve">Descuento</t>
  </si>
  <si>
    <t xml:space="preserve">Precio mensual</t>
  </si>
  <si>
    <t xml:space="preserve">Precio anual</t>
  </si>
  <si>
    <t xml:space="preserve">Ahorro anual del cliente</t>
  </si>
  <si>
    <t xml:space="preserve">Empresas que entran a probar la suite</t>
  </si>
  <si>
    <t xml:space="preserve">Plataforma base: escritorio con agentes, archivos, notas, equipos, conocimiento e integraciones</t>
  </si>
  <si>
    <t xml:space="preserve">PyMEs de 5 a 20 personas sin procesos formales</t>
  </si>
  <si>
    <t xml:space="preserve">Core + gestion de tareas + captura de leads</t>
  </si>
  <si>
    <t xml:space="preserve">Empresas de 20 a 100 personas con equipo comercial</t>
  </si>
  <si>
    <t xml:space="preserve">Core + proyectos + CRM + marketing + dashboards + agentes IA</t>
  </si>
  <si>
    <t xml:space="preserve">Empresas de 100+ personas o con procesos regulados</t>
  </si>
  <si>
    <t xml:space="preserve">Todos los modulos, incluidos BPM, PIM, Tienda, Cashflow, ProductLab, Eventos y Agentes Web</t>
  </si>
  <si>
    <t xml:space="preserve">3. Kits por necesidad del cliente</t>
  </si>
  <si>
    <t xml:space="preserve">Kit Comercial</t>
  </si>
  <si>
    <t xml:space="preserve">Equipos de ventas y marketing</t>
  </si>
  <si>
    <t xml:space="preserve">Captar, atender y cerrar: CRM + formularios + chatbot + redes + diseno</t>
  </si>
  <si>
    <t xml:space="preserve">Kit Operaciones</t>
  </si>
  <si>
    <t xml:space="preserve">PMOs, operaciones y consultoras</t>
  </si>
  <si>
    <t xml:space="preserve">Ejecutar y controlar: tareas + Gantt + procesos + paneles</t>
  </si>
  <si>
    <t xml:space="preserve">Kit Retail</t>
  </si>
  <si>
    <t xml:space="preserve">Retail, distribucion y marcas</t>
  </si>
  <si>
    <t xml:space="preserve">Vender en linea: catalogo maestro + tienda + vitrina + bot + diseno</t>
  </si>
  <si>
    <t xml:space="preserve">Kit IA</t>
  </si>
  <si>
    <t xml:space="preserve">Equipos tecnicos y de innovacion</t>
  </si>
  <si>
    <t xml:space="preserve">Automatizar con IA: escritorio + agentes + pipelines de datos + bot + base de conocimiento</t>
  </si>
  <si>
    <t xml:space="preserve">Kit Finanzas y Gestion</t>
  </si>
  <si>
    <t xml:space="preserve">Gerencia financiera</t>
  </si>
  <si>
    <t xml:space="preserve">Controlar la plata: flujo de caja + paneles + planificacion + documentos</t>
  </si>
  <si>
    <t xml:space="preserve">4. Chequeo de realidad: que gasta hoy el cliente sin KIMOS</t>
  </si>
  <si>
    <t xml:space="preserve">Necesidad</t>
  </si>
  <si>
    <t xml:space="preserve">Herramienta que se usa hoy</t>
  </si>
  <si>
    <t xml:space="preserve">Costo mensual (USD)</t>
  </si>
  <si>
    <t xml:space="preserve">Archivos, correo y videollamadas</t>
  </si>
  <si>
    <t xml:space="preserve">Chat de equipo</t>
  </si>
  <si>
    <t xml:space="preserve">Tareas y proyectos</t>
  </si>
  <si>
    <t xml:space="preserve">Planificacion Gantt</t>
  </si>
  <si>
    <t xml:space="preserve">Base de conocimiento</t>
  </si>
  <si>
    <t xml:space="preserve">Notas colaborativas</t>
  </si>
  <si>
    <t xml:space="preserve">CRM y prospeccion</t>
  </si>
  <si>
    <t xml:space="preserve">Redes sociales</t>
  </si>
  <si>
    <t xml:space="preserve">Formularios</t>
  </si>
  <si>
    <t xml:space="preserve">Diseno grafico</t>
  </si>
  <si>
    <t xml:space="preserve">Chatbot web</t>
  </si>
  <si>
    <t xml:space="preserve">Flujo de caja</t>
  </si>
  <si>
    <t xml:space="preserve">Dashboards</t>
  </si>
  <si>
    <t xml:space="preserve">Automatizacion de procesos</t>
  </si>
  <si>
    <t xml:space="preserve">Automatizacion IA</t>
  </si>
  <si>
    <t xml:space="preserve">Gamificacion</t>
  </si>
  <si>
    <t xml:space="preserve">Gestion de producto</t>
  </si>
  <si>
    <t xml:space="preserve">PIM / catalogo</t>
  </si>
  <si>
    <t xml:space="preserve">Tienda online</t>
  </si>
  <si>
    <t xml:space="preserve">Vitrina de marca</t>
  </si>
  <si>
    <t xml:space="preserve">Asistente IA</t>
  </si>
  <si>
    <t xml:space="preserve">Agentes / automatizacion</t>
  </si>
  <si>
    <t xml:space="preserve">Eventos</t>
  </si>
  <si>
    <t xml:space="preserve">TOTAL stack best-of-breed</t>
  </si>
  <si>
    <t xml:space="preserve">Costo por usuario del stack actual</t>
  </si>
  <si>
    <t xml:space="preserve">KIMOS Enterprise mensual</t>
  </si>
  <si>
    <t xml:space="preserve">KIMOS Enterprise por usuario</t>
  </si>
  <si>
    <t xml:space="preserve">KIMOS como % del gasto actual</t>
  </si>
  <si>
    <t xml:space="preserve">Ahorro anual para el cliente</t>
  </si>
  <si>
    <t xml:space="preserve">Banda sana: KIMOS entre 25% y 60% del stack actual.</t>
  </si>
  <si>
    <t xml:space="preserve">Sobre 60% se cae el argumento de ahorro.</t>
  </si>
  <si>
    <t xml:space="preserve">Bajo 25% se deja margen sobre la mesa.</t>
  </si>
  <si>
    <t xml:space="preserve">Estudio de demanda - supuestos del modelo</t>
  </si>
  <si>
    <t xml:space="preserve">Editar solo las celdas azules sobre ambar. El embudo TAM/SAM/SOM y los unit economics se recalculan.</t>
  </si>
  <si>
    <t xml:space="preserve">Mercado SaaS global 2026</t>
  </si>
  <si>
    <t xml:space="preserve">USD MM</t>
  </si>
  <si>
    <t xml:space="preserve">Suma de las cinco regiones</t>
  </si>
  <si>
    <t xml:space="preserve">Gasto en suites de gestion</t>
  </si>
  <si>
    <t xml:space="preserve">% del SaaS</t>
  </si>
  <si>
    <t xml:space="preserve">Supuesto: participacion de suites de gestion y productividad</t>
  </si>
  <si>
    <t xml:space="preserve">Participacion PyME y mid-market</t>
  </si>
  <si>
    <t xml:space="preserve">% de la categoria</t>
  </si>
  <si>
    <t xml:space="preserve">Supuesto</t>
  </si>
  <si>
    <t xml:space="preserve">Segmento 10-250 empleados</t>
  </si>
  <si>
    <t xml:space="preserve">% del segmento</t>
  </si>
  <si>
    <t xml:space="preserve">Supuesto: rango que KIMOS puede atender</t>
  </si>
  <si>
    <t xml:space="preserve">Churn mensual</t>
  </si>
  <si>
    <t xml:space="preserve">Benchmark PyME: 3% a 7%, mediana 3,5%</t>
  </si>
  <si>
    <t xml:space="preserve">Margen bruto</t>
  </si>
  <si>
    <t xml:space="preserve">Castigado por el costo variable de IA</t>
  </si>
  <si>
    <t xml:space="preserve">CAC promedio</t>
  </si>
  <si>
    <t xml:space="preserve">Benchmark PyME autoservicio: USD 200 a 700</t>
  </si>
  <si>
    <t xml:space="preserve">Clientes captados al ano 3</t>
  </si>
  <si>
    <t xml:space="preserve">clientes</t>
  </si>
  <si>
    <t xml:space="preserve">Bruto acumulado, antes de churn</t>
  </si>
  <si>
    <t xml:space="preserve">Mercado global por region - TAM y SAM</t>
  </si>
  <si>
    <t xml:space="preserve">Cobertura comercial e indice de precio son supuestos editables. El mercado SaaS y el CAGR son datos de fuente.</t>
  </si>
  <si>
    <t xml:space="preserve">Region</t>
  </si>
  <si>
    <t xml:space="preserve">Mercado SaaS 2026 (USD MM)</t>
  </si>
  <si>
    <t xml:space="preserve">% global</t>
  </si>
  <si>
    <t xml:space="preserve">CAGR</t>
  </si>
  <si>
    <t xml:space="preserve">TAM (USD MM)</t>
  </si>
  <si>
    <t xml:space="preserve">Cobertura KIMOS</t>
  </si>
  <si>
    <t xml:space="preserve">SAM (USD MM)</t>
  </si>
  <si>
    <t xml:space="preserve">Indice de precio</t>
  </si>
  <si>
    <t xml:space="preserve">Lectura</t>
  </si>
  <si>
    <t xml:space="preserve">Norteamerica</t>
  </si>
  <si>
    <t xml:space="preserve">EE.UU. y Canada. Mayor concentracion de proveedores e infraestructura cloud madura. Tambien donde estan todos los competidores con capital ilimitado.</t>
  </si>
  <si>
    <t xml:space="preserve">fortunebusinessinsights.com/software-as-a-service-saas-market-102222</t>
  </si>
  <si>
    <t xml:space="preserve">Asia-Pacifico</t>
  </si>
  <si>
    <t xml:space="preserve">Region de mayor crecimiento del mundo. Mayor varianza interna de precio: 40 puntos entre Japon/Australia y el sudeste asiatico emergente.</t>
  </si>
  <si>
    <t xml:space="preserve">precedenceresearch.com/software-as-a-service-market</t>
  </si>
  <si>
    <t xml:space="preserve">Europa</t>
  </si>
  <si>
    <t xml:space="preserve">Mercado maduro con alta exigencia de cumplimiento (GDPR, residencia de datos). Los nordicos pagan 8-18% de premium sobre el baseline de EE.UU.</t>
  </si>
  <si>
    <t xml:space="preserve">America Latina</t>
  </si>
  <si>
    <t xml:space="preserve">USD 21.000 MM en 2025, proyectado a USD 45.000 MM en 2030. Brasil concentra el 60% de las ~17.000 empresas SaaS de la region.</t>
  </si>
  <si>
    <t xml:space="preserve">informesdeexpertos.com/informes/mercado-latinoamericano-de-software-como-servicio-saas</t>
  </si>
  <si>
    <t xml:space="preserve">Medio Oriente y Africa</t>
  </si>
  <si>
    <t xml:space="preserve">Residual del total global. Mercado incipiente, alta dependencia de proveedores globales.</t>
  </si>
  <si>
    <t xml:space="preserve">Calculo residual sobre el total global de USD 375.570 MM</t>
  </si>
  <si>
    <t xml:space="preserve">TOTAL GLOBAL</t>
  </si>
  <si>
    <t xml:space="preserve">Los 30 mercados, pais por pais</t>
  </si>
  <si>
    <t xml:space="preserve">El peso normaliza cada pais dentro de su region para que la suma de exactamente el total regional. La columna 'publicado' muestra la cifra 2026 de fuente cuando existe: la diferencia es el desacuerdo entre estudios y se deja a la vista.</t>
  </si>
  <si>
    <t xml:space="preserve">Pais o mercado</t>
  </si>
  <si>
    <t xml:space="preserve">Idioma</t>
  </si>
  <si>
    <t xml:space="preserve">Prioridad</t>
  </si>
  <si>
    <t xml:space="preserve">Cobertura</t>
  </si>
  <si>
    <t xml:space="preserve">Peso en la region</t>
  </si>
  <si>
    <t xml:space="preserve">Publicado (USD MM)</t>
  </si>
  <si>
    <t xml:space="preserve">Desvio</t>
  </si>
  <si>
    <t xml:space="preserve">Empresas</t>
  </si>
  <si>
    <t xml:space="preserve">Contexto</t>
  </si>
  <si>
    <t xml:space="preserve">Estados Unidos</t>
  </si>
  <si>
    <t xml:space="preserve">Ingles</t>
  </si>
  <si>
    <t xml:space="preserve">Expansion</t>
  </si>
  <si>
    <t xml:space="preserve">USD 141.060 MM en 2026, el 37,5% del mercado mundial. 36,2 millones de pequenas empresas, el 99,9% del total.</t>
  </si>
  <si>
    <t xml:space="preserve">Canada</t>
  </si>
  <si>
    <t xml:space="preserve">s/d</t>
  </si>
  <si>
    <t xml:space="preserve">USD 36.700 MM: el 16% del gasto SaaS norteamericano. Crece al 12,6% anual hasta 2030.</t>
  </si>
  <si>
    <t xml:space="preserve">Alemania</t>
  </si>
  <si>
    <t xml:space="preserve">Aleman</t>
  </si>
  <si>
    <t xml:space="preserve">Oportunista</t>
  </si>
  <si>
    <t xml:space="preserve">El mayor mercado SaaS de Europa. 3,2 millones de empresas activas.</t>
  </si>
  <si>
    <t xml:space="preserve">Francia</t>
  </si>
  <si>
    <t xml:space="preserve">Frances</t>
  </si>
  <si>
    <t xml:space="preserve">5,3 millones de empresas activas, la mayor poblacion empresarial de la UE.</t>
  </si>
  <si>
    <t xml:space="preserve">Reino Unido</t>
  </si>
  <si>
    <t xml:space="preserve">Puerta de entrada natural a Europa por idioma y practica comercial.</t>
  </si>
  <si>
    <t xml:space="preserve">Italia</t>
  </si>
  <si>
    <t xml:space="preserve">Italiano</t>
  </si>
  <si>
    <t xml:space="preserve">-</t>
  </si>
  <si>
    <t xml:space="preserve">4,6 millones de empresas activas. Mercado cloud de USD 14.300 MM en 2025 creciendo al 16,4%.</t>
  </si>
  <si>
    <t xml:space="preserve">Espana</t>
  </si>
  <si>
    <t xml:space="preserve">Espanol</t>
  </si>
  <si>
    <t xml:space="preserve">Prioritario</t>
  </si>
  <si>
    <t xml:space="preserve">3,5 millones de empresas activas. Mismo idioma: es el puente entre LATAM y Europa.</t>
  </si>
  <si>
    <t xml:space="preserve">Nordicos</t>
  </si>
  <si>
    <t xml:space="preserve">Suecia, Dinamarca, Noruega y Finlandia. Pagan entre 8% y 18% de premium sobre la lista de EE.UU.</t>
  </si>
  <si>
    <t xml:space="preserve">Paises Bajos</t>
  </si>
  <si>
    <t xml:space="preserve">Neerlandes</t>
  </si>
  <si>
    <t xml:space="preserve">Alta digitalizacion y operacion comercial en ingles.</t>
  </si>
  <si>
    <t xml:space="preserve">Polonia</t>
  </si>
  <si>
    <t xml:space="preserve">Polaco</t>
  </si>
  <si>
    <t xml:space="preserve">No perseguir</t>
  </si>
  <si>
    <t xml:space="preserve">Crece rapido pero con menor poder adquisitivo y competencia local fuerte.</t>
  </si>
  <si>
    <t xml:space="preserve">Resto de Europa</t>
  </si>
  <si>
    <t xml:space="preserve">Varios</t>
  </si>
  <si>
    <t xml:space="preserve">Agregado del resto del continente. Total de PyMEs en la UE: 34 millones.</t>
  </si>
  <si>
    <t xml:space="preserve">Derivado</t>
  </si>
  <si>
    <t xml:space="preserve">China</t>
  </si>
  <si>
    <t xml:space="preserve">Chino</t>
  </si>
  <si>
    <t xml:space="preserve">El mayor mercado de la region. Ecosistema cerrado y competencia local dominante.</t>
  </si>
  <si>
    <t xml:space="preserve">India</t>
  </si>
  <si>
    <t xml:space="preserve">Proyectado a USD 58.400 MM en 2033 creciendo al 16,9% anual: el de mayor crecimiento del mundo, y tambien el mas sensible al precio.</t>
  </si>
  <si>
    <t xml:space="preserve">Japon</t>
  </si>
  <si>
    <t xml:space="preserve">Japones</t>
  </si>
  <si>
    <t xml:space="preserve">3,5 millones de MiPymes, el 99,7% de las empresas. Exige localizacion profunda y ciclos largos.</t>
  </si>
  <si>
    <t xml:space="preserve">Australia</t>
  </si>
  <si>
    <t xml:space="preserve">USD 13.800 MM estimados para 2026. El 2,6% del mercado mundial y el mercado mas accesible de la region por idioma.</t>
  </si>
  <si>
    <t xml:space="preserve">Corea del Sur</t>
  </si>
  <si>
    <t xml:space="preserve">Coreano</t>
  </si>
  <si>
    <t xml:space="preserve">Crece al 9,4% anual. Alta digitalizacion pero fuerte preferencia por proveedores locales.</t>
  </si>
  <si>
    <t xml:space="preserve">Singapur</t>
  </si>
  <si>
    <t xml:space="preserve">Pequeno pero de alto ticket y en ingles. Buena cabecera de playa regional.</t>
  </si>
  <si>
    <t xml:space="preserve">Resto de Asia-Pacifico</t>
  </si>
  <si>
    <t xml:space="preserve">Sudeste asiatico emergente. Hasta 40 puntos de precio por debajo de Japon y Australia.</t>
  </si>
  <si>
    <t xml:space="preserve">Brasil</t>
  </si>
  <si>
    <t xml:space="preserve">Portugues</t>
  </si>
  <si>
    <t xml:space="preserve">USD 9.216 MM en 2024 creciendo al 12,1% anual. Concentra el 60% de las ~17.000 empresas SaaS de la region.</t>
  </si>
  <si>
    <t xml:space="preserve">Mexico</t>
  </si>
  <si>
    <t xml:space="preserve">El 17% del mercado SaaS latinoamericano. 6 millones de unidades economicas; las pymes dan 7 de cada 10 empleos.</t>
  </si>
  <si>
    <t xml:space="preserve">Argentina</t>
  </si>
  <si>
    <t xml:space="preserve">Las pymes son el 99,4% de las empresas y emplean al 64% de los asalariados. El 41,6% ya usa alguna herramienta de IA.</t>
  </si>
  <si>
    <t xml:space="preserve">Colombia</t>
  </si>
  <si>
    <t xml:space="preserve">Uno de los paises mas emprendedores de la region junto con Mexico y Peru.</t>
  </si>
  <si>
    <t xml:space="preserve">Chile</t>
  </si>
  <si>
    <t xml:space="preserve">Mercado base de KIMOS. 1,19 millones de MiPymes formales y el mayor poder adquisitivo de la region.</t>
  </si>
  <si>
    <t xml:space="preserve">Peru</t>
  </si>
  <si>
    <t xml:space="preserve">Mas de 2,1 millones de MiPymes formales.</t>
  </si>
  <si>
    <t xml:space="preserve">Resto de America Latina</t>
  </si>
  <si>
    <t xml:space="preserve">Centroamerica, Caribe hispano, Ecuador, Uruguay, Bolivia y Paraguay.</t>
  </si>
  <si>
    <t xml:space="preserve">Arabia Saudita</t>
  </si>
  <si>
    <t xml:space="preserve">Arabe</t>
  </si>
  <si>
    <t xml:space="preserve">Fuerte inversion estatal en digitalizacion.</t>
  </si>
  <si>
    <t xml:space="preserve">Emiratos Arabes Unidos</t>
  </si>
  <si>
    <t xml:space="preserve">Hub regional, alto poder adquisitivo y operacion en ingles.</t>
  </si>
  <si>
    <t xml:space="preserve">Israel</t>
  </si>
  <si>
    <t xml:space="preserve">Alta densidad tecnologica y tambien altisima competencia local.</t>
  </si>
  <si>
    <t xml:space="preserve">Sudafrica</t>
  </si>
  <si>
    <t xml:space="preserve">Principal mercado del africa subsahariana.</t>
  </si>
  <si>
    <t xml:space="preserve">Resto de Medio Oriente y Africa</t>
  </si>
  <si>
    <t xml:space="preserve">Agregado del resto de la region.</t>
  </si>
  <si>
    <t xml:space="preserve">TOTAL</t>
  </si>
  <si>
    <t xml:space="preserve">El SAM de esta hoja usa la cobertura por prioridad comercial de cada pais, mas fina que la cobertura por region de la hoja D2. Por eso ambos totales difieren.</t>
  </si>
  <si>
    <t xml:space="preserve">Economia por cliente y proyeccion a 3 anos</t>
  </si>
  <si>
    <t xml:space="preserve">La base neta descuenta el churn mes a mes. Sin ese descuento el churn no afectaria el ARR, que seria falso.</t>
  </si>
  <si>
    <t xml:space="preserve">Mix de planes y ARPU</t>
  </si>
  <si>
    <t xml:space="preserve">Peso en el mix</t>
  </si>
  <si>
    <t xml:space="preserve">Aporte al ARPU</t>
  </si>
  <si>
    <t xml:space="preserve">ARPU mensual base</t>
  </si>
  <si>
    <t xml:space="preserve">Mix regional del ano 3 y ARPU ponderado</t>
  </si>
  <si>
    <t xml:space="preserve">ARPU anual de la region</t>
  </si>
  <si>
    <t xml:space="preserve">Aporte ponderado</t>
  </si>
  <si>
    <t xml:space="preserve">ARPU anual ponderado</t>
  </si>
  <si>
    <t xml:space="preserve">Proyeccion a 3 anos por cohorte de captacion</t>
  </si>
  <si>
    <t xml:space="preserve">Cada cohorte se capta repartida en 12 meses y se le aplica supervivencia (1-churn)^meses. Sin esto el churn no afectaria el ARR.</t>
  </si>
  <si>
    <t xml:space="preserve">Cohorte</t>
  </si>
  <si>
    <t xml:space="preserve">Clientes nuevos en el ano</t>
  </si>
  <si>
    <t xml:space="preserve">Vivos al cierre ano 1</t>
  </si>
  <si>
    <t xml:space="preserve">Vivos al cierre ano 2</t>
  </si>
  <si>
    <t xml:space="preserve">Vivos al cierre ano 3</t>
  </si>
  <si>
    <t xml:space="preserve">Captados en el ano 1</t>
  </si>
  <si>
    <t xml:space="preserve">Captados en el ano 2</t>
  </si>
  <si>
    <t xml:space="preserve">Captados en el ano 3</t>
  </si>
  <si>
    <t xml:space="preserve">Clientes vivos</t>
  </si>
  <si>
    <t xml:space="preserve">ARR (USD)</t>
  </si>
  <si>
    <t xml:space="preserve">Retencion al ano 3</t>
  </si>
  <si>
    <t xml:space="preserve">Unit economics</t>
  </si>
  <si>
    <t xml:space="preserve">Vida media del cliente</t>
  </si>
  <si>
    <t xml:space="preserve">meses · inversa del churn</t>
  </si>
  <si>
    <t xml:space="preserve">LTV</t>
  </si>
  <si>
    <t xml:space="preserve">ARPU mensual x margen x vida media</t>
  </si>
  <si>
    <t xml:space="preserve">CAC</t>
  </si>
  <si>
    <t xml:space="preserve">LTV : CAC</t>
  </si>
  <si>
    <t xml:space="preserve">Benchmark PyME: 2,5:1</t>
  </si>
  <si>
    <t xml:space="preserve">CAC payback</t>
  </si>
  <si>
    <t xml:space="preserve">meses · benchmark PyME: 6,2</t>
  </si>
  <si>
    <t xml:space="preserve">SAM global</t>
  </si>
  <si>
    <t xml:space="preserve">Penetracion del SAM al ano 3</t>
  </si>
  <si>
    <t xml:space="preserve">Cuota necesaria</t>
  </si>
  <si>
    <t xml:space="preserve">Perfiles de cliente ideal y segmentacion</t>
  </si>
  <si>
    <t xml:space="preserve">Perfil</t>
  </si>
  <si>
    <t xml:space="preserve">Rol que decide</t>
  </si>
  <si>
    <t xml:space="preserve">Tamano</t>
  </si>
  <si>
    <t xml:space="preserve">Producto</t>
  </si>
  <si>
    <t xml:space="preserve">Su dolor</t>
  </si>
  <si>
    <t xml:space="preserve">Que gatilla la compra</t>
  </si>
  <si>
    <t xml:space="preserve">Objecion tipica</t>
  </si>
  <si>
    <t xml:space="preserve">Como se le vende</t>
  </si>
  <si>
    <t xml:space="preserve">El dueno que perdio el control del gasto</t>
  </si>
  <si>
    <t xml:space="preserve">Gerente General o socio fundador</t>
  </si>
  <si>
    <t xml:space="preserve">10 a 50 empleados</t>
  </si>
  <si>
    <t xml:space="preserve">Starter o Business</t>
  </si>
  <si>
    <t xml:space="preserve">Tiene entre 8 y 12 suscripciones sueltas y nadie sabe cuanto suman. La informacion vive en cuatro herramientas que no se hablan.</t>
  </si>
  <si>
    <t xml:space="preserve">Le llega la renovacion anual de una suscripcion cara, o un error de coordinacion le costo un cliente.</t>
  </si>
  <si>
    <t xml:space="preserve">"Ya pague por estas herramientas y mi equipo las sabe usar. Cambiar me va a costar mas de lo que ahorro."</t>
  </si>
  <si>
    <t xml:space="preserve">Con la cuenta del stack actual sobre la mesa. No se vende funcionalidad: se vende la factura consolidada y las horas que se pierden saltando entre pestanas.</t>
  </si>
  <si>
    <t xml:space="preserve">El comercial sin pipeline visible</t>
  </si>
  <si>
    <t xml:space="preserve">Gerente Comercial o de Ventas</t>
  </si>
  <si>
    <t xml:space="preserve">20 a 100 empleados</t>
  </si>
  <si>
    <t xml:space="preserve">Los leads del formulario web se pierden antes de llegar al vendedor. No hay forma de saber que paso con cada oportunidad.</t>
  </si>
  <si>
    <t xml:space="preserve">Cierre de trimestre bajo meta, o la contratacion de vendedores nuevos que necesitan un proceso.</t>
  </si>
  <si>
    <t xml:space="preserve">"Mi CRM actual funciona y migrar el historial de clientes me da panico."</t>
  </si>
  <si>
    <t xml:space="preserve">Mostrando el ciclo cerrado: formulario, chatbot, CRM y campana en el mismo lugar. El argumento es la fuga de leads, no el precio del CRM.</t>
  </si>
  <si>
    <t xml:space="preserve">El jefe de operaciones que vive en planillas</t>
  </si>
  <si>
    <t xml:space="preserve">Jefe de Operaciones o PMO</t>
  </si>
  <si>
    <t xml:space="preserve">30 a 150 empleados</t>
  </si>
  <si>
    <t xml:space="preserve">Kit Operaciones o BPM</t>
  </si>
  <si>
    <t xml:space="preserve">Los procesos criticos estan en Excel sin trazabilidad ni control de versiones. Cada auditoria es una crisis.</t>
  </si>
  <si>
    <t xml:space="preserve">Una certificacion, una auditoria fallida, o un crecimiento que rompio la planilla.</t>
  </si>
  <si>
    <t xml:space="preserve">"Esto lo tiene que aprobar TI y ellos ya tienen su propio roadmap."</t>
  </si>
  <si>
    <t xml:space="preserve">Con trazabilidad y cumplimiento. Aqui el competidor es Kissflow a USD 2.500/mes de plataforma: la brecha de precio hace la venta sola.</t>
  </si>
  <si>
    <t xml:space="preserve">El de e-commerce con el catalogo roto</t>
  </si>
  <si>
    <t xml:space="preserve">Gerente de E-commerce o Retail</t>
  </si>
  <si>
    <t xml:space="preserve">500+ SKU, 20 a 200 empleados</t>
  </si>
  <si>
    <t xml:space="preserve">El catalogo vive en tres lugares distintos y publicar en un canal nuevo toma semanas de trabajo manual.</t>
  </si>
  <si>
    <t xml:space="preserve">Apertura de un marketplace nuevo, rebranding, o una temporada alta que expuso el desorden.</t>
  </si>
  <si>
    <t xml:space="preserve">"Ya tengo Shopify y no pienso migrar mi tienda."</t>
  </si>
  <si>
    <t xml:space="preserve">No pidiendole que migre. KIMOS es el catalogo maestro que alimenta a Shopify: integracion, no reemplazo.</t>
  </si>
  <si>
    <t xml:space="preserve">El financiero que proyecta a ciegas</t>
  </si>
  <si>
    <t xml:space="preserve">Gerente de Administracion y Finanzas</t>
  </si>
  <si>
    <t xml:space="preserve">Proyecta la caja en una planilla que solo el entiende y se entera de los problemas cuando ya ocurrieron.</t>
  </si>
  <si>
    <t xml:space="preserve">Un apreton de caja, la solicitud de una linea de credito o la entrada de un inversionista.</t>
  </si>
  <si>
    <t xml:space="preserve">"Mi contador ya me entrega reportes y esto suena a duplicar trabajo."</t>
  </si>
  <si>
    <t xml:space="preserve">Con la diferencia entre mirar hacia atras y proyectar hacia adelante. Requiere integracion bancaria local: sin eso, no compra.</t>
  </si>
  <si>
    <t xml:space="preserve">El de TI con mandato de IA y sin equipo</t>
  </si>
  <si>
    <t xml:space="preserve">CTO, Jefe de TI o de Innovacion</t>
  </si>
  <si>
    <t xml:space="preserve">50 a 250 empleados</t>
  </si>
  <si>
    <t xml:space="preserve">Kit IA o Enterprise</t>
  </si>
  <si>
    <t xml:space="preserve">Mantiene 15 integraciones fragiles y tiene presion del directorio por "hacer algo con IA" sin presupuesto para contratar.</t>
  </si>
  <si>
    <t xml:space="preserve">Mandato del directorio sobre IA, o una integracion que se cayo y paro la operacion.</t>
  </si>
  <si>
    <t xml:space="preserve">"Puedo armar esto con n8n autohospedado y me sale gratis."</t>
  </si>
  <si>
    <t xml:space="preserve">Con costo total de propiedad: el software open source es gratis, mantenerlo no. Es el perfil mas escepitico y el que mas valida antes de comprar.</t>
  </si>
  <si>
    <t xml:space="preserve">Segmentacion por tamano</t>
  </si>
  <si>
    <t xml:space="preserve">Empleados</t>
  </si>
  <si>
    <t xml:space="preserve">Veredicto</t>
  </si>
  <si>
    <t xml:space="preserve">Plan sugerido</t>
  </si>
  <si>
    <t xml:space="preserve">Por que</t>
  </si>
  <si>
    <t xml:space="preserve">Riesgo</t>
  </si>
  <si>
    <t xml:space="preserve">Micro</t>
  </si>
  <si>
    <t xml:space="preserve">1 a 9</t>
  </si>
  <si>
    <t xml:space="preserve">No sostienen un ticket de suscripcion integral y su tasa de mortalidad empresarial es alta.</t>
  </si>
  <si>
    <t xml:space="preserve">Churn destructivo: cancelan cuando su propio ingreso se contrae. Consumen soporte y no dejan margen.</t>
  </si>
  <si>
    <t xml:space="preserve">Pequena</t>
  </si>
  <si>
    <t xml:space="preserve">10 a 49</t>
  </si>
  <si>
    <t xml:space="preserve">Objetivo primario</t>
  </si>
  <si>
    <t xml:space="preserve">Starter y Kits</t>
  </si>
  <si>
    <t xml:space="preserve">Ya sienten el dolor de la fragmentacion pero deciden rapido: comite de 3 personas y ciclo de 14 a 30 dias.</t>
  </si>
  <si>
    <t xml:space="preserve">Sensibles al precio y con bajo costo de cambio. Se retienen con onboarding, no con contrato.</t>
  </si>
  <si>
    <t xml:space="preserve">Mediana</t>
  </si>
  <si>
    <t xml:space="preserve">50 a 249</t>
  </si>
  <si>
    <t xml:space="preserve">Objetivo de mayor valor</t>
  </si>
  <si>
    <t xml:space="preserve">Business y Enterprise</t>
  </si>
  <si>
    <t xml:space="preserve">Es donde vive el dolor de las 187 apps y donde el presupuesto de consolidacion es real.</t>
  </si>
  <si>
    <t xml:space="preserve">Ciclo mas largo, exige integraciones y suele tener TI con opinion propia.</t>
  </si>
  <si>
    <t xml:space="preserve">Grande</t>
  </si>
  <si>
    <t xml:space="preserve">250+</t>
  </si>
  <si>
    <t xml:space="preserve">Nicho selectivo</t>
  </si>
  <si>
    <t xml:space="preserve">Enterprise + implementacion</t>
  </si>
  <si>
    <t xml:space="preserve">Ticket alto y contratos plurianuales, pero exige SSO, auditoria, SLA y cumplimiento.</t>
  </si>
  <si>
    <t xml:space="preserve">Puede consumir todo el roadmap atendiendo a un solo cliente. Aceptar solo con implementacion pagada.</t>
  </si>
  <si>
    <t xml:space="preserve">Evidencia recopilada del lado de la demanda</t>
  </si>
  <si>
    <t xml:space="preserve">Cada cifra con su fuente y nivel de confianza. Es la base de todo el estudio de clientes.</t>
  </si>
  <si>
    <t xml:space="preserve">Universo de empresas</t>
  </si>
  <si>
    <t xml:space="preserve">Ambito</t>
  </si>
  <si>
    <t xml:space="preserve">Metrica</t>
  </si>
  <si>
    <t xml:space="preserve">Global</t>
  </si>
  <si>
    <t xml:space="preserve">Pequenas empresas en el mundo</t>
  </si>
  <si>
    <t xml:space="preserve">400.000.000</t>
  </si>
  <si>
    <t xml:space="preserve">empresas</t>
  </si>
  <si>
    <t xml:space="preserve">El 90% de las empresas operativas del mundo son PyMEs y emplean a mas del 50% de la fuerza laboral global</t>
  </si>
  <si>
    <t xml:space="preserve">hostinger.com/tutorials/small-business-statistics</t>
  </si>
  <si>
    <t xml:space="preserve">Pequenas empresas</t>
  </si>
  <si>
    <t xml:space="preserve">36.200.000</t>
  </si>
  <si>
    <t xml:space="preserve">Representan el 99,9% de todas las companias del pais</t>
  </si>
  <si>
    <t xml:space="preserve">demandsage.com/small-business-statistics</t>
  </si>
  <si>
    <t xml:space="preserve">Union Europea</t>
  </si>
  <si>
    <t xml:space="preserve">PyMEs</t>
  </si>
  <si>
    <t xml:space="preserve">24.000.000</t>
  </si>
  <si>
    <t xml:space="preserve">Representan el 99,8% del tejido empresarial europeo. Cifra exacta tras muro de pago; orden de magnitud confirmado</t>
  </si>
  <si>
    <t xml:space="preserve">europarl.europa.eu/factsheets/en/sheet/63/small-and-medium-sized-enterprises</t>
  </si>
  <si>
    <t xml:space="preserve">Adopcion de software PyME</t>
  </si>
  <si>
    <t xml:space="preserve">40</t>
  </si>
  <si>
    <t xml:space="preserve">% del global</t>
  </si>
  <si>
    <t xml:space="preserve">Lidera la adopcion mundial de software PyME por madurez de infraestructura</t>
  </si>
  <si>
    <t xml:space="preserve">businessresearchinsights.com/market-reports/small-and-medium-business-smb-software-market-108773</t>
  </si>
  <si>
    <t xml:space="preserve">MiPymes formales</t>
  </si>
  <si>
    <t xml:space="preserve">1.194.430</t>
  </si>
  <si>
    <t xml:space="preserve">66% micro, 29% pequenas, 5% medianas. Emplean a 6,4 millones de personas (~50% del empleo)</t>
  </si>
  <si>
    <t xml:space="preserve">sii.cl/estadisticas/empresas_tamano_ventas.htm</t>
  </si>
  <si>
    <t xml:space="preserve">Unidades economicas</t>
  </si>
  <si>
    <t xml:space="preserve">6.000.000</t>
  </si>
  <si>
    <t xml:space="preserve">Las pymes generan 7 de cada 10 puestos de trabajo del pais</t>
  </si>
  <si>
    <t xml:space="preserve">konfio.mx/blog/panorama-pyme/datos-clave-del-crecimiento-empresarial-en-mexico</t>
  </si>
  <si>
    <t xml:space="preserve">2.100.000</t>
  </si>
  <si>
    <t xml:space="preserve">Dato 2021, ultimo consolidado disponible</t>
  </si>
  <si>
    <t xml:space="preserve">ogeiee.produce.gob.pe/index.php/en/shortcode/estadistica-oee/estadisticas-mipyme</t>
  </si>
  <si>
    <t xml:space="preserve">PyMEs sobre el total</t>
  </si>
  <si>
    <t xml:space="preserve">99.4</t>
  </si>
  <si>
    <t xml:space="preserve">% de empresas</t>
  </si>
  <si>
    <t xml:space="preserve">Emplean al 64% de los asalariados registrados</t>
  </si>
  <si>
    <t xml:space="preserve">infopymes.com.ar/pymes-como-esta-la-argentina-en-comparacion-con-latam</t>
  </si>
  <si>
    <t xml:space="preserve">Consumo de SaaS</t>
  </si>
  <si>
    <t xml:space="preserve">Por que importa</t>
  </si>
  <si>
    <t xml:space="preserve">Apps SaaS por empresa (promedio)</t>
  </si>
  <si>
    <t xml:space="preserve">106</t>
  </si>
  <si>
    <t xml:space="preserve">apps</t>
  </si>
  <si>
    <t xml:space="preserve">Bajo un 18% desde el pico de 130 en 2022. La consolidacion ya empezo.</t>
  </si>
  <si>
    <t xml:space="preserve">zylo.com/blog/saas-statistics</t>
  </si>
  <si>
    <t xml:space="preserve">Apps SaaS en empresa pequena</t>
  </si>
  <si>
    <t xml:space="preserve">87</t>
  </si>
  <si>
    <t xml:space="preserve">Es el numero que KIMOS promete reducir</t>
  </si>
  <si>
    <t xml:space="preserve">Apps SaaS en mid-market</t>
  </si>
  <si>
    <t xml:space="preserve">187</t>
  </si>
  <si>
    <t xml:space="preserve">Segmento con mayor dolor de fragmentacion</t>
  </si>
  <si>
    <t xml:space="preserve">Apps SaaS en gran empresa</t>
  </si>
  <si>
    <t xml:space="preserve">371</t>
  </si>
  <si>
    <t xml:space="preserve">5.000+ empleados</t>
  </si>
  <si>
    <t xml:space="preserve">Gasto SaaS por empleado/ano</t>
  </si>
  <si>
    <t xml:space="preserve">10.800</t>
  </si>
  <si>
    <t xml:space="preserve">Proyeccion 2026. En empresas pequenas el rango va de USD 8.000 a 15.000.</t>
  </si>
  <si>
    <t xml:space="preserve">vendorbenchmark.com/blog/saas-spend-per-employee-benchmark-data</t>
  </si>
  <si>
    <t xml:space="preserve">Crecimiento del gasto SaaS</t>
  </si>
  <si>
    <t xml:space="preserve">8</t>
  </si>
  <si>
    <t xml:space="preserve">% interanual</t>
  </si>
  <si>
    <t xml:space="preserve">El portafolio de apps se mantiene estable pero el gasto sube por precios e IA embebida</t>
  </si>
  <si>
    <t xml:space="preserve">Lideres tech que planean consolidar</t>
  </si>
  <si>
    <t xml:space="preserve">68</t>
  </si>
  <si>
    <t xml:space="preserve">La mayoria apunta a reducir un 20% el numero de proveedores durante 2026. Es exactamente la tesis de KIMOS.</t>
  </si>
  <si>
    <t xml:space="preserve">vantagepoint.io/blog/sf/insights/platform-consolidation-2026-saas-stack-reduction-ai</t>
  </si>
  <si>
    <t xml:space="preserve">Comportamiento de compra</t>
  </si>
  <si>
    <t xml:space="preserve">Que mide</t>
  </si>
  <si>
    <t xml:space="preserve">Dato</t>
  </si>
  <si>
    <t xml:space="preserve">Que significa para KIMOS</t>
  </si>
  <si>
    <t xml:space="preserve">Tamano del comite de compra PyME</t>
  </si>
  <si>
    <t xml:space="preserve">3 a 5 personas</t>
  </si>
  <si>
    <t xml:space="preserve">1-2 campeones, 1-2 decisores, 2-5 influenciadores y 1-3 bloqueadores. En 2014 eran 5,4 en promedio; hoy el promedio general supera los 11.</t>
  </si>
  <si>
    <t xml:space="preserve">growthspreeofficial.com/blogs/b2b-saas-buying-committee-size-benchmarks-2026</t>
  </si>
  <si>
    <t xml:space="preserve">Ciclo de venta bajo USD 15K</t>
  </si>
  <si>
    <t xml:space="preserve">14 a 30 dias</t>
  </si>
  <si>
    <t xml:space="preserve">Entre USD 15K y 50K sube a 30-60 dias. Cada participante adicional en el comite suma 8-22 dias.</t>
  </si>
  <si>
    <t xml:space="preserve">Proceso completado sin hablar con ventas</t>
  </si>
  <si>
    <t xml:space="preserve">69%</t>
  </si>
  <si>
    <t xml:space="preserve">El comprador investiga, compara y decide solo. Si KIMOS no publica precios, queda fuera antes de la primera reunion.</t>
  </si>
  <si>
    <t xml:space="preserve">martal.ca/b2b-buying-process-lb</t>
  </si>
  <si>
    <t xml:space="preserve">Compradores que llegan con requisitos definidos</t>
  </si>
  <si>
    <t xml:space="preserve">83%</t>
  </si>
  <si>
    <t xml:space="preserve">No vienen a que les expliquen la categoria: vienen a validar si cumples una lista.</t>
  </si>
  <si>
    <t xml:space="preserve">Procurement como decisor</t>
  </si>
  <si>
    <t xml:space="preserve">53% de los ciclos</t>
  </si>
  <si>
    <t xml:space="preserve">Participa desde el inicio, no al final. En deals PyME esto suele ser el dueno o el gerente de administracion.</t>
  </si>
  <si>
    <t xml:space="preserve">Probabilidad de estancamiento por stakeholder</t>
  </si>
  <si>
    <t xml:space="preserve">12 a 22% adicional</t>
  </si>
  <si>
    <t xml:space="preserve">Argumento fuerte para vender kits departamentales en vez de la suite completa: menos firmas, menos riesgo de que el deal muera.</t>
  </si>
  <si>
    <t xml:space="preserve">Benchmarks de retencion y adquisicion</t>
  </si>
  <si>
    <t xml:space="preserve">Benchmark</t>
  </si>
  <si>
    <t xml:space="preserve">Churn mensual PyME</t>
  </si>
  <si>
    <t xml:space="preserve">3% a 7%</t>
  </si>
  <si>
    <t xml:space="preserve">Mediana de 3,5% sobre 500+ empresas. El cuartil superior baja de 3%.</t>
  </si>
  <si>
    <t xml:space="preserve">artisangrowthstrategies.com/blog/saas-churn-rate-benchmarks-2026-500-companies</t>
  </si>
  <si>
    <t xml:space="preserve">Churn en los primeros 90 dias</t>
  </si>
  <si>
    <t xml:space="preserve">40% a 60%</t>
  </si>
  <si>
    <t xml:space="preserve">Del churn total. El negocio se gana en el onboarding, no en la venta.</t>
  </si>
  <si>
    <t xml:space="preserve">saasfractionalcpo.com/blog/reduce-churn-in-saas-a-complete-guide</t>
  </si>
  <si>
    <t xml:space="preserve">Efecto de un onboarding estructurado</t>
  </si>
  <si>
    <t xml:space="preserve">+25% de retencion</t>
  </si>
  <si>
    <t xml:space="preserve">En el primer ano. Es la palanca de retencion mas barata que existe.</t>
  </si>
  <si>
    <t xml:space="preserve">LTV:CAC en PyME</t>
  </si>
  <si>
    <t xml:space="preserve">2,5:1</t>
  </si>
  <si>
    <t xml:space="preserve">Funciona porque el costo de adquisicion es bajo en terminos absolutos, no porque el churn sea bueno.</t>
  </si>
  <si>
    <t xml:space="preserve">optif.ai/learn/questions/b2b-saas-ltv-benchmark</t>
  </si>
  <si>
    <t xml:space="preserve">CAC en PyME</t>
  </si>
  <si>
    <t xml:space="preserve">USD 200 a 700</t>
  </si>
  <si>
    <t xml:space="preserve">Para venta autoservicio o inside sales ligera.</t>
  </si>
  <si>
    <t xml:space="preserve">unbuiltlab.com/learn/benchmarks/saas-cac-benchmarks</t>
  </si>
  <si>
    <t xml:space="preserve">LTV en PyME</t>
  </si>
  <si>
    <t xml:space="preserve">USD 15.000 a 40.000</t>
  </si>
  <si>
    <t xml:space="preserve">Rango amplio segun expansion de cuenta.</t>
  </si>
  <si>
    <t xml:space="preserve">Conversion free a pago</t>
  </si>
  <si>
    <t xml:space="preserve">2% a 5%</t>
  </si>
  <si>
    <t xml:space="preserve">Define cuanto trafico hace falta para sostener el plan comercial.</t>
  </si>
  <si>
    <t xml:space="preserve">foundrycro.com/blog/saas-marketing-benchmarks-2026</t>
  </si>
  <si>
    <t xml:space="preserve">CAC payback en PyME</t>
  </si>
  <si>
    <t xml:space="preserve">6,2 meses</t>
  </si>
  <si>
    <t xml:space="preserve">Herramientas PyME y prosumer. El objetivo general del sector es bajar de 12 meses.</t>
  </si>
  <si>
    <t xml:space="preserve">Indice de precio por region</t>
  </si>
  <si>
    <t xml:space="preserve">Indice sobre EE.UU.</t>
  </si>
  <si>
    <t xml:space="preserve">Nota</t>
  </si>
  <si>
    <t xml:space="preserve">Linea base. KIMOS con factor 0,55 esta dejando margen sobre la mesa en este mercado.</t>
  </si>
  <si>
    <t xml:space="preserve">saasceo.com/localized-pricing</t>
  </si>
  <si>
    <t xml:space="preserve">Los nordicos pagan 8-18% de premium sobre lista pero negocian 20-38% de descuento; el neto queda cerca del baseline.</t>
  </si>
  <si>
    <t xml:space="preserve">vendorbenchmark.com/blog/software-pricing-regional-benchmark-global</t>
  </si>
  <si>
    <t xml:space="preserve">Promedio regional. Japon y Australia cerca del baseline; sudeste asiatico hasta 40 puntos por debajo.</t>
  </si>
  <si>
    <t xml:space="preserve">Los benchmarks locales estan 40-60% bajo EE.UU. El 67% de los compradores prefiere igual el precio en USD.</t>
  </si>
  <si>
    <t xml:space="preserve">Menor poder adquisitivo y mayor friccion de pago.</t>
  </si>
  <si>
    <t xml:space="preserve">geotargetly.com/blog/pricing-localization-saas</t>
  </si>
  <si>
    <t xml:space="preserve">Decisiones que solo aparecen al cruzar ambos estudios</t>
  </si>
  <si>
    <t xml:space="preserve">Cada decision con el dato de oferta y el de demanda que la sostienen. Si un dato cambia, la decision se revisa.</t>
  </si>
  <si>
    <t xml:space="preserve">Decision</t>
  </si>
  <si>
    <t xml:space="preserve">Lo que dice la oferta</t>
  </si>
  <si>
    <t xml:space="preserve">Lo que dice la demanda</t>
  </si>
  <si>
    <t xml:space="preserve">Que hacer</t>
  </si>
  <si>
    <t xml:space="preserve">Impacto</t>
  </si>
  <si>
    <t xml:space="preserve">La tesis de consolidacion tiene viento a favor, y es medible</t>
  </si>
  <si>
    <t xml:space="preserve">La suite completa cuesta 28% de lo que gasta hoy el cliente en herramientas sueltas: USD 777 contra USD 2.767 al mes.</t>
  </si>
  <si>
    <t xml:space="preserve">El 68% de los lideres tecnologicos planea reducir proveedores en 2026 y el promedio de apps por empresa ya cayo de 130 a 106.</t>
  </si>
  <si>
    <t xml:space="preserve">Poner el ahorro consolidado al centro del discurso comercial, con la calculadora del stack actual como primera pantalla del sitio.</t>
  </si>
  <si>
    <t xml:space="preserve">alto</t>
  </si>
  <si>
    <t xml:space="preserve">Una lista de precios unica esta regalando margen</t>
  </si>
  <si>
    <t xml:space="preserve">El factor de posicionamiento 0,55 deja a KIMOS 45% bajo la mediana del mercado, que se calculo sobre precios de lista estadounidenses.</t>
  </si>
  <si>
    <t xml:space="preserve">La disposicion a pagar en LATAM esta 40-60% bajo EE.UU., pero en Norteamerica y Europa el indice es 1,00 y 0,95.</t>
  </si>
  <si>
    <t xml:space="preserve">Mantener 0,55 en LATAM y subir a 0,85-0,90 en Norteamerica y Europa. Es la misma lista con tres precios, no tres productos.</t>
  </si>
  <si>
    <t xml:space="preserve">Los kits no son una simplificacion comercial: son una decision de conversion</t>
  </si>
  <si>
    <t xml:space="preserve">El Enterprise sale USD 777 al mes; los kits, entre USD 204 y 263.</t>
  </si>
  <si>
    <t xml:space="preserve">Cada participante adicional en el comite suma entre 12% y 22% de probabilidad de que el deal se estanque, y los deals bajo USD 15K cierran en 14-30 dias.</t>
  </si>
  <si>
    <t xml:space="preserve">Hacer del kit la oferta de entrada por defecto y dejar el Enterprise para expansion, no para adquisicion.</t>
  </si>
  <si>
    <t xml:space="preserve">El riesgo no esta en el precio: esta en los primeros 90 dias</t>
  </si>
  <si>
    <t xml:space="preserve">24 modulos significan una superficie de producto enorme y un tiempo hasta el primer valor mucho mas largo que el de una herramienta unica.</t>
  </si>
  <si>
    <t xml:space="preserve">Entre el 40% y el 60% del churn ocurre antes del tercer mes, y un onboarding estructurado sube la retencion del primer ano un 25%.</t>
  </si>
  <si>
    <t xml:space="preserve">Onboarding pagado y obligatorio en PIM, BPM y Cashflow, y activacion guiada a un solo modulo en los planes de entrada.</t>
  </si>
  <si>
    <t xml:space="preserve">Publicar precios no es transparencia: es un requisito de entrada</t>
  </si>
  <si>
    <t xml:space="preserve">Pipedrive, Shopify, Notion y Plytix publican todo. Los que no publican juegan en enterprise con equipo de ventas propio.</t>
  </si>
  <si>
    <t xml:space="preserve">El 69% del proceso de compra ocurre sin contacto comercial y el 83% de los compradores llega con requisitos ya definidos.</t>
  </si>
  <si>
    <t xml:space="preserve">Publicar lista completa por region y una comparativa propia contra el stack tipico. Sin eso KIMOS no entra a la lista corta.</t>
  </si>
  <si>
    <t xml:space="preserve">Vender IA como promesa produce cancelaciones</t>
  </si>
  <si>
    <t xml:space="preserve">El Escritorio y los Agentes son el diferenciador mas fuerte de la suite y el unico que ningun competidor replica dentro de un mismo login.</t>
  </si>
  <si>
    <t xml:space="preserve">El 42% de las PyMEs ya empezo a implementar IA, pero solo el 23% captura valor economico medible y 6 de cada 10 no capturan nada.</t>
  </si>
  <si>
    <t xml:space="preserve">Instrumentar y mostrar el ahorro de horas por agente dentro del producto. La IA se cobra por resultado medido, no por acceso.</t>
  </si>
  <si>
    <t xml:space="preserve">Hay modulos que sostienen la suite y modulos que solo la engordan</t>
  </si>
  <si>
    <t xml:space="preserve">PIM, CRM, BPM y Dashboards concentran el precio sugerido; Vitrina, Integraciones y Formularios aportan casi nada al ticket.</t>
  </si>
  <si>
    <t xml:space="preserve">El dolor de fragmentacion es mayor en mid-market, que corre 187 apps, que en la pequena empresa, que corre 87.</t>
  </si>
  <si>
    <t xml:space="preserve">Concentrar roadmap y soporte en los cuatro primeros y mover el resto a mantencion. Ver la matriz de cartera de esta misma pestana.</t>
  </si>
  <si>
    <t xml:space="preserve">medio</t>
  </si>
  <si>
    <t xml:space="preserve">El mercado grande y el mercado alcanzable no son el mismo</t>
  </si>
  <si>
    <t xml:space="preserve">El producto compite de igual a igual con proveedores locales, pero contra Microsoft, Google y Shopify no.</t>
  </si>
  <si>
    <t xml:space="preserve">Norteamerica es el 46% del mercado SaaS mundial, pero la cobertura comercial realista de KIMOS alli es baja; LATAM es solo el 5,6% y es donde tiene ventaja de idioma, cercania y soporte.</t>
  </si>
  <si>
    <t xml:space="preserve">Financiar la expansion global con la caja del mercado hispano, no al reves. Entrar a Norteamerica por producto, no por fuerza de ventas.</t>
  </si>
  <si>
    <t xml:space="preserve">Matriz de cartera: ver la pestana 'Decisiones cruzadas' del dashboard HTML, donde cada modulo se ubica por lo que paga el mercado y por la ventaja de KIMOS.</t>
  </si>
  <si>
    <t xml:space="preserve">Paga el mercado (USD/mes)</t>
  </si>
  <si>
    <t xml:space="preserve">Precio KIMOS</t>
  </si>
  <si>
    <t xml:space="preserve">Ventaja KIMOS (0-10)</t>
  </si>
  <si>
    <t xml:space="preserve">Cuadrante</t>
  </si>
  <si>
    <t xml:space="preserve">Como usar esta planilla</t>
  </si>
  <si>
    <t xml:space="preserve">Hoja</t>
  </si>
  <si>
    <t xml:space="preserve">Para que sirve</t>
  </si>
  <si>
    <t xml:space="preserve">ESTUDIO DE OFERTA</t>
  </si>
  <si>
    <t xml:space="preserve">--- Analisis de la competencia ---</t>
  </si>
  <si>
    <t xml:space="preserve">Supuestos</t>
  </si>
  <si>
    <t xml:space="preserve">Parametros globales del estudio de oferta. Cambia y todo se recalcula.</t>
  </si>
  <si>
    <t xml:space="preserve">Mapa Competitivo</t>
  </si>
  <si>
    <t xml:space="preserve">Una fila por app: contra quien compite, precio de mercado, precio sugerido, pros y contras.</t>
  </si>
  <si>
    <t xml:space="preserve">Detalle Competencia</t>
  </si>
  <si>
    <t xml:space="preserve">Una fila por plan de cada competidor, con fuente y confianza. Filtrable.</t>
  </si>
  <si>
    <t xml:space="preserve">Modelo de Suscripcion</t>
  </si>
  <si>
    <t xml:space="preserve">Precio a la carta, planes por tamano, kits por necesidad y chequeo contra el gasto actual del cliente.</t>
  </si>
  <si>
    <t xml:space="preserve">ESTUDIO DE DEMANDA</t>
  </si>
  <si>
    <t xml:space="preserve">--- Analisis de clientes y mercado ---</t>
  </si>
  <si>
    <t xml:space="preserve">Codigo de colores</t>
  </si>
  <si>
    <t xml:space="preserve">Parametros del embudo de mercado y de los unit economics.</t>
  </si>
  <si>
    <t xml:space="preserve">Azul</t>
  </si>
  <si>
    <t xml:space="preserve">Dato editable a mano</t>
  </si>
  <si>
    <t xml:space="preserve">Negro</t>
  </si>
  <si>
    <t xml:space="preserve">Formula en la misma hoja</t>
  </si>
  <si>
    <t xml:space="preserve">Verde</t>
  </si>
  <si>
    <t xml:space="preserve">Formula que trae valor de otra hoja</t>
  </si>
  <si>
    <t xml:space="preserve">Fondo ambar</t>
  </si>
  <si>
    <t xml:space="preserve">Supuesto o dato estimado</t>
  </si>
  <si>
    <t xml:space="preserve">Fondo verde</t>
  </si>
  <si>
    <t xml:space="preserve">Precio verificado en fuente, agosto 2026</t>
  </si>
  <si>
    <t xml:space="preserve">SINTESIS</t>
  </si>
  <si>
    <t xml:space="preserve">--- Cruce de ambos estudios ---</t>
  </si>
  <si>
    <t xml:space="preserve">D6 Decisiones Cruzadas</t>
  </si>
  <si>
    <t xml:space="preserve">Ocho decisiones que solo aparecen al cruzar oferta y demanda, mas la matriz de cartera por modulo.</t>
  </si>
  <si>
    <t xml:space="preserve">Advertencias metodologicas</t>
  </si>
  <si>
    <t xml:space="preserve">1. 140 de 154 precios fueron verificados en fuente. Los 14 restantes dicen 'Estimado' en la columna J.</t>
  </si>
  <si>
    <t xml:space="preserve">2. Precios de lista publicos al 16-ago-2026, sin descuentos por volumen ni negociacion.</t>
  </si>
  <si>
    <t xml:space="preserve">3. La normalizacion compara costo total, no paridad funcional. Revisar features antes de anclar precio.</t>
  </si>
  <si>
    <t xml:space="preserve">4. Agicap, Cvent y Salsify no publican precio: sus cifras son estimaciones de mercado.</t>
  </si>
  <si>
    <t xml:space="preserve">5. La mediana excluye planes Enterprise (Akeneo, Salsify, Cvent, Bizzabo, Kissflow, Nintex): son otro segmento y distorsionan la referencia.</t>
  </si>
  <si>
    <t xml:space="preserve">6. Digitai y Agentes se solapan como categoria. Evaluar fusionarlos en un solo modulo.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</si>
</sst>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0"/>
    <numFmt numFmtId="167" formatCode="0%"/>
    <numFmt numFmtId="168" formatCode="\$#,##0"/>
    <numFmt numFmtId="169" formatCode="\$#,##0.0"/>
    <numFmt numFmtId="170" formatCode="\$#,##0.00"/>
    <numFmt numFmtId="171" formatCode="0%;\(0%\);\-"/>
    <numFmt numFmtId="172" formatCode="#,##0"/>
    <numFmt numFmtId="173" formatCode="0.0%"/>
    <numFmt numFmtId="174" formatCode="0.0000"/>
    <numFmt numFmtId="175" formatCode="0.0%;\(0.0%\);\-"/>
    <numFmt numFmtId="176" formatCode="0.0"/>
    <numFmt numFmtId="177" formatCode="0.00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1F6B3B"/>
      <name val="Arial"/>
      <family val="0"/>
      <charset val="1"/>
    </font>
    <font>
      <sz val="9"/>
      <color rgb="FF9C0006"/>
      <name val="Arial"/>
      <family val="0"/>
      <charset val="1"/>
    </font>
    <font>
      <sz val="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9C570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9"/>
      <color rgb="FF1F6B8A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sz val="9"/>
      <color rgb="FF1F6B8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1F6B8A"/>
      </patternFill>
    </fill>
    <fill>
      <patternFill patternType="solid">
        <fgColor rgb="FFFFF2CC"/>
        <bgColor rgb="FFFCE4E4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1F6B8A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F6B8A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F6B3B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C57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4"/>
      <c r="D5" s="4" t="s">
        <v>8</v>
      </c>
    </row>
    <row r="6" customFormat="false" ht="15" hidden="false" customHeight="false" outlineLevel="0" collapsed="false">
      <c r="A6" s="4" t="s">
        <v>9</v>
      </c>
      <c r="B6" s="5" t="s">
        <v>10</v>
      </c>
      <c r="C6" s="4"/>
      <c r="D6" s="4" t="s">
        <v>11</v>
      </c>
    </row>
    <row r="7" customFormat="false" ht="15" hidden="false" customHeight="false" outlineLevel="0" collapsed="false">
      <c r="A7" s="4" t="s">
        <v>12</v>
      </c>
      <c r="B7" s="6" t="n">
        <v>10</v>
      </c>
      <c r="C7" s="4" t="s">
        <v>13</v>
      </c>
      <c r="D7" s="4" t="s">
        <v>14</v>
      </c>
    </row>
    <row r="8" customFormat="false" ht="15" hidden="false" customHeight="false" outlineLevel="0" collapsed="false">
      <c r="A8" s="4" t="s">
        <v>15</v>
      </c>
      <c r="B8" s="6" t="n">
        <v>5</v>
      </c>
      <c r="C8" s="4" t="s">
        <v>16</v>
      </c>
      <c r="D8" s="4" t="s">
        <v>17</v>
      </c>
    </row>
    <row r="9" customFormat="false" ht="15" hidden="false" customHeight="false" outlineLevel="0" collapsed="false">
      <c r="A9" s="4" t="s">
        <v>18</v>
      </c>
      <c r="B9" s="7" t="n">
        <v>0.55</v>
      </c>
      <c r="C9" s="4" t="s">
        <v>19</v>
      </c>
      <c r="D9" s="4" t="s">
        <v>20</v>
      </c>
    </row>
    <row r="10" customFormat="false" ht="15" hidden="false" customHeight="false" outlineLevel="0" collapsed="false">
      <c r="A10" s="4" t="s">
        <v>21</v>
      </c>
      <c r="B10" s="8" t="n">
        <v>0.2</v>
      </c>
      <c r="C10" s="4" t="s">
        <v>22</v>
      </c>
      <c r="D10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4" min="13" style="0" width="58"/>
    <col collapsed="false" customWidth="true" hidden="false" outlineLevel="0" max="15" min="15" style="0" width="38"/>
    <col collapsed="false" customWidth="true" hidden="false" outlineLevel="0" max="16" min="16" style="0" width="11"/>
  </cols>
  <sheetData>
    <row r="1" customFormat="false" ht="18.5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3.75" hidden="false" customHeight="true" outlineLevel="0" collapsed="false">
      <c r="A4" s="9" t="s">
        <v>26</v>
      </c>
      <c r="B4" s="9" t="s">
        <v>27</v>
      </c>
      <c r="C4" s="9" t="s">
        <v>28</v>
      </c>
      <c r="D4" s="9" t="s">
        <v>29</v>
      </c>
      <c r="E4" s="9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9" t="s">
        <v>37</v>
      </c>
      <c r="M4" s="9" t="s">
        <v>38</v>
      </c>
      <c r="N4" s="9" t="s">
        <v>39</v>
      </c>
      <c r="O4" s="9" t="s">
        <v>40</v>
      </c>
      <c r="P4" s="9" t="s">
        <v>41</v>
      </c>
    </row>
    <row r="5" customFormat="false" ht="72" hidden="false" customHeight="true" outlineLevel="0" collapsed="false">
      <c r="A5" s="10" t="n">
        <v>1</v>
      </c>
      <c r="B5" s="11" t="s">
        <v>42</v>
      </c>
      <c r="C5" s="12" t="s">
        <v>43</v>
      </c>
      <c r="D5" s="10" t="s">
        <v>44</v>
      </c>
      <c r="E5" s="12" t="s">
        <v>45</v>
      </c>
      <c r="F5" s="10" t="s">
        <v>46</v>
      </c>
      <c r="G5" s="13" t="n">
        <f aca="false">MIN('Detalle Competencia'!G5:G9)</f>
        <v>19</v>
      </c>
      <c r="H5" s="13" t="n">
        <f aca="false">MEDIAN('Detalle Competencia'!G5:G9)</f>
        <v>210</v>
      </c>
      <c r="I5" s="13" t="n">
        <f aca="false">MAX('Detalle Competencia'!G5:G9)</f>
        <v>250</v>
      </c>
      <c r="J5" s="14" t="n">
        <f aca="false">ROUND(H5*Supuestos!$B$9,0)</f>
        <v>116</v>
      </c>
      <c r="K5" s="15" t="n">
        <f aca="false">ROUND(J5/Supuestos!$B$7,1)</f>
        <v>11.6</v>
      </c>
      <c r="L5" s="16" t="n">
        <f aca="false">IF(H5=0,0,1-J5/H5)</f>
        <v>0.447619047619048</v>
      </c>
      <c r="M5" s="17" t="s">
        <v>47</v>
      </c>
      <c r="N5" s="18" t="s">
        <v>48</v>
      </c>
      <c r="O5" s="12" t="s">
        <v>49</v>
      </c>
      <c r="P5" s="19" t="s">
        <v>50</v>
      </c>
    </row>
    <row r="6" customFormat="false" ht="72" hidden="false" customHeight="true" outlineLevel="0" collapsed="false">
      <c r="A6" s="10" t="n">
        <v>2</v>
      </c>
      <c r="B6" s="11" t="s">
        <v>51</v>
      </c>
      <c r="C6" s="12" t="s">
        <v>52</v>
      </c>
      <c r="D6" s="10" t="s">
        <v>53</v>
      </c>
      <c r="E6" s="12" t="s">
        <v>54</v>
      </c>
      <c r="F6" s="10" t="s">
        <v>55</v>
      </c>
      <c r="G6" s="13" t="n">
        <f aca="false">MIN('Detalle Competencia'!G10:G15)</f>
        <v>19.99</v>
      </c>
      <c r="H6" s="13" t="n">
        <f aca="false">MEDIAN('Detalle Competencia'!G10:G15)</f>
        <v>84.495</v>
      </c>
      <c r="I6" s="13" t="n">
        <f aca="false">MAX('Detalle Competencia'!G10:G15)</f>
        <v>200</v>
      </c>
      <c r="J6" s="14" t="n">
        <f aca="false">ROUND(H6*Supuestos!$B$9,0)</f>
        <v>46</v>
      </c>
      <c r="K6" s="15" t="n">
        <f aca="false">ROUND(J6/Supuestos!$B$7,1)</f>
        <v>4.6</v>
      </c>
      <c r="L6" s="16" t="n">
        <f aca="false">IF(H6=0,0,1-J6/H6)</f>
        <v>0.455589088111723</v>
      </c>
      <c r="M6" s="17" t="s">
        <v>56</v>
      </c>
      <c r="N6" s="18" t="s">
        <v>57</v>
      </c>
      <c r="O6" s="12" t="s">
        <v>58</v>
      </c>
      <c r="P6" s="19" t="s">
        <v>59</v>
      </c>
    </row>
    <row r="7" customFormat="false" ht="72" hidden="false" customHeight="true" outlineLevel="0" collapsed="false">
      <c r="A7" s="10" t="n">
        <v>3</v>
      </c>
      <c r="B7" s="11" t="s">
        <v>60</v>
      </c>
      <c r="C7" s="12" t="s">
        <v>61</v>
      </c>
      <c r="D7" s="10" t="s">
        <v>62</v>
      </c>
      <c r="E7" s="12" t="s">
        <v>63</v>
      </c>
      <c r="F7" s="10" t="s">
        <v>64</v>
      </c>
      <c r="G7" s="13" t="n">
        <f aca="false">MIN('Detalle Competencia'!G16:G24)</f>
        <v>14</v>
      </c>
      <c r="H7" s="13" t="n">
        <f aca="false">MEDIAN('Detalle Competencia'!G16:G24)</f>
        <v>120</v>
      </c>
      <c r="I7" s="13" t="n">
        <f aca="false">MAX('Detalle Competencia'!G16:G24)</f>
        <v>1320</v>
      </c>
      <c r="J7" s="14" t="n">
        <f aca="false">ROUND(H7*Supuestos!$B$9,0)</f>
        <v>66</v>
      </c>
      <c r="K7" s="15" t="n">
        <f aca="false">ROUND(J7/Supuestos!$B$7,1)</f>
        <v>6.6</v>
      </c>
      <c r="L7" s="16" t="n">
        <f aca="false">IF(H7=0,0,1-J7/H7)</f>
        <v>0.45</v>
      </c>
      <c r="M7" s="17" t="s">
        <v>65</v>
      </c>
      <c r="N7" s="18" t="s">
        <v>66</v>
      </c>
      <c r="O7" s="12" t="s">
        <v>67</v>
      </c>
      <c r="P7" s="19" t="s">
        <v>68</v>
      </c>
    </row>
    <row r="8" customFormat="false" ht="72" hidden="false" customHeight="true" outlineLevel="0" collapsed="false">
      <c r="A8" s="10" t="n">
        <v>4</v>
      </c>
      <c r="B8" s="11" t="s">
        <v>69</v>
      </c>
      <c r="C8" s="12" t="s">
        <v>70</v>
      </c>
      <c r="D8" s="10" t="s">
        <v>71</v>
      </c>
      <c r="E8" s="12" t="s">
        <v>72</v>
      </c>
      <c r="F8" s="10" t="s">
        <v>46</v>
      </c>
      <c r="G8" s="13" t="n">
        <f aca="false">MIN('Detalle Competencia'!G25:G31)</f>
        <v>70</v>
      </c>
      <c r="H8" s="13" t="n">
        <f aca="false">MEDIAN('Detalle Competencia'!G25:G31)</f>
        <v>200</v>
      </c>
      <c r="I8" s="13" t="n">
        <f aca="false">MAX('Detalle Competencia'!G25:G31)</f>
        <v>240</v>
      </c>
      <c r="J8" s="14" t="n">
        <f aca="false">ROUND(H8*Supuestos!$B$9,0)</f>
        <v>110</v>
      </c>
      <c r="K8" s="15" t="n">
        <f aca="false">ROUND(J8/Supuestos!$B$7,1)</f>
        <v>11</v>
      </c>
      <c r="L8" s="16" t="n">
        <f aca="false">IF(H8=0,0,1-J8/H8)</f>
        <v>0.45</v>
      </c>
      <c r="M8" s="17" t="s">
        <v>73</v>
      </c>
      <c r="N8" s="18" t="s">
        <v>74</v>
      </c>
      <c r="O8" s="12" t="s">
        <v>75</v>
      </c>
      <c r="P8" s="19" t="s">
        <v>76</v>
      </c>
    </row>
    <row r="9" customFormat="false" ht="72" hidden="false" customHeight="true" outlineLevel="0" collapsed="false">
      <c r="A9" s="10" t="n">
        <v>5</v>
      </c>
      <c r="B9" s="11" t="s">
        <v>77</v>
      </c>
      <c r="C9" s="12" t="s">
        <v>78</v>
      </c>
      <c r="D9" s="10" t="s">
        <v>79</v>
      </c>
      <c r="E9" s="12" t="s">
        <v>80</v>
      </c>
      <c r="F9" s="10" t="s">
        <v>81</v>
      </c>
      <c r="G9" s="13" t="n">
        <f aca="false">MIN('Detalle Competencia'!G32:G36)</f>
        <v>54.2</v>
      </c>
      <c r="H9" s="13" t="n">
        <f aca="false">MEDIAN('Detalle Competencia'!G32:G36)</f>
        <v>199</v>
      </c>
      <c r="I9" s="13" t="n">
        <f aca="false">MAX('Detalle Competencia'!G32:G36)</f>
        <v>250</v>
      </c>
      <c r="J9" s="14" t="n">
        <f aca="false">ROUND(H9*Supuestos!$B$9,0)</f>
        <v>109</v>
      </c>
      <c r="K9" s="15" t="n">
        <f aca="false">ROUND(J9/Supuestos!$B$7,1)</f>
        <v>10.9</v>
      </c>
      <c r="L9" s="16" t="n">
        <f aca="false">IF(H9=0,0,1-J9/H9)</f>
        <v>0.452261306532663</v>
      </c>
      <c r="M9" s="17" t="s">
        <v>82</v>
      </c>
      <c r="N9" s="18" t="s">
        <v>83</v>
      </c>
      <c r="O9" s="12" t="s">
        <v>84</v>
      </c>
      <c r="P9" s="19" t="s">
        <v>85</v>
      </c>
    </row>
    <row r="10" customFormat="false" ht="72" hidden="false" customHeight="true" outlineLevel="0" collapsed="false">
      <c r="A10" s="10" t="n">
        <v>6</v>
      </c>
      <c r="B10" s="11" t="s">
        <v>86</v>
      </c>
      <c r="C10" s="12" t="s">
        <v>87</v>
      </c>
      <c r="D10" s="10" t="s">
        <v>88</v>
      </c>
      <c r="E10" s="12" t="s">
        <v>89</v>
      </c>
      <c r="F10" s="10" t="s">
        <v>46</v>
      </c>
      <c r="G10" s="13" t="n">
        <f aca="false">MIN('Detalle Competencia'!G37:G41)</f>
        <v>40</v>
      </c>
      <c r="H10" s="13" t="n">
        <f aca="false">MEDIAN('Detalle Competencia'!G37:G41)</f>
        <v>72.5</v>
      </c>
      <c r="I10" s="13" t="n">
        <f aca="false">MAX('Detalle Competencia'!G37:G41)</f>
        <v>125</v>
      </c>
      <c r="J10" s="14" t="n">
        <f aca="false">ROUND(H10*Supuestos!$B$9,0)</f>
        <v>40</v>
      </c>
      <c r="K10" s="15" t="n">
        <f aca="false">ROUND(J10/Supuestos!$B$7,1)</f>
        <v>4</v>
      </c>
      <c r="L10" s="16" t="n">
        <f aca="false">IF(H10=0,0,1-J10/H10)</f>
        <v>0.448275862068966</v>
      </c>
      <c r="M10" s="17" t="s">
        <v>90</v>
      </c>
      <c r="N10" s="18" t="s">
        <v>91</v>
      </c>
      <c r="O10" s="12" t="s">
        <v>92</v>
      </c>
      <c r="P10" s="19" t="s">
        <v>85</v>
      </c>
    </row>
    <row r="11" customFormat="false" ht="72" hidden="false" customHeight="true" outlineLevel="0" collapsed="false">
      <c r="A11" s="10" t="n">
        <v>7</v>
      </c>
      <c r="B11" s="11" t="s">
        <v>93</v>
      </c>
      <c r="C11" s="12" t="s">
        <v>94</v>
      </c>
      <c r="D11" s="10" t="s">
        <v>95</v>
      </c>
      <c r="E11" s="12" t="s">
        <v>96</v>
      </c>
      <c r="F11" s="10" t="s">
        <v>97</v>
      </c>
      <c r="G11" s="13" t="n">
        <f aca="false">MIN('Detalle Competencia'!G42:G50)</f>
        <v>50</v>
      </c>
      <c r="H11" s="13" t="n">
        <f aca="false">MEDIAN('Detalle Competencia'!G42:G50)</f>
        <v>120</v>
      </c>
      <c r="I11" s="13" t="n">
        <f aca="false">MAX('Detalle Competencia'!G42:G50)</f>
        <v>249.9</v>
      </c>
      <c r="J11" s="14" t="n">
        <f aca="false">ROUND(H11*Supuestos!$B$9,0)</f>
        <v>66</v>
      </c>
      <c r="K11" s="15" t="n">
        <f aca="false">ROUND(J11/Supuestos!$B$7,1)</f>
        <v>6.6</v>
      </c>
      <c r="L11" s="16" t="n">
        <f aca="false">IF(H11=0,0,1-J11/H11)</f>
        <v>0.45</v>
      </c>
      <c r="M11" s="17" t="s">
        <v>98</v>
      </c>
      <c r="N11" s="18" t="s">
        <v>99</v>
      </c>
      <c r="O11" s="12" t="s">
        <v>100</v>
      </c>
      <c r="P11" s="19" t="s">
        <v>68</v>
      </c>
    </row>
    <row r="12" customFormat="false" ht="72" hidden="false" customHeight="true" outlineLevel="0" collapsed="false">
      <c r="A12" s="10" t="n">
        <v>8</v>
      </c>
      <c r="B12" s="11" t="s">
        <v>101</v>
      </c>
      <c r="C12" s="12" t="s">
        <v>102</v>
      </c>
      <c r="D12" s="10" t="s">
        <v>103</v>
      </c>
      <c r="E12" s="12" t="s">
        <v>104</v>
      </c>
      <c r="F12" s="10" t="s">
        <v>105</v>
      </c>
      <c r="G12" s="13" t="n">
        <f aca="false">MIN('Detalle Competencia'!G51:G58)</f>
        <v>19</v>
      </c>
      <c r="H12" s="13" t="n">
        <f aca="false">MEDIAN('Detalle Competencia'!G51:G58)</f>
        <v>100</v>
      </c>
      <c r="I12" s="13" t="n">
        <f aca="false">MAX('Detalle Competencia'!G51:G58)</f>
        <v>300</v>
      </c>
      <c r="J12" s="14" t="n">
        <f aca="false">ROUND(H12*Supuestos!$B$9,0)</f>
        <v>55</v>
      </c>
      <c r="K12" s="15" t="n">
        <f aca="false">ROUND(J12/Supuestos!$B$7,1)</f>
        <v>5.5</v>
      </c>
      <c r="L12" s="16" t="n">
        <f aca="false">IF(H12=0,0,1-J12/H12)</f>
        <v>0.45</v>
      </c>
      <c r="M12" s="17" t="s">
        <v>106</v>
      </c>
      <c r="N12" s="18" t="s">
        <v>107</v>
      </c>
      <c r="O12" s="12" t="s">
        <v>108</v>
      </c>
      <c r="P12" s="19" t="s">
        <v>109</v>
      </c>
    </row>
    <row r="13" customFormat="false" ht="72" hidden="false" customHeight="true" outlineLevel="0" collapsed="false">
      <c r="A13" s="10" t="n">
        <v>9</v>
      </c>
      <c r="B13" s="11" t="s">
        <v>110</v>
      </c>
      <c r="C13" s="12" t="s">
        <v>111</v>
      </c>
      <c r="D13" s="10" t="s">
        <v>112</v>
      </c>
      <c r="E13" s="12" t="s">
        <v>113</v>
      </c>
      <c r="F13" s="10" t="s">
        <v>46</v>
      </c>
      <c r="G13" s="13" t="n">
        <f aca="false">MIN('Detalle Competencia'!G59:G63)</f>
        <v>80</v>
      </c>
      <c r="H13" s="13" t="n">
        <f aca="false">MEDIAN('Detalle Competencia'!G59:G63)</f>
        <v>120</v>
      </c>
      <c r="I13" s="13" t="n">
        <f aca="false">MAX('Detalle Competencia'!G59:G63)</f>
        <v>360</v>
      </c>
      <c r="J13" s="14" t="n">
        <f aca="false">ROUND(H13*Supuestos!$B$9,0)</f>
        <v>66</v>
      </c>
      <c r="K13" s="15" t="n">
        <f aca="false">ROUND(J13/Supuestos!$B$7,1)</f>
        <v>6.6</v>
      </c>
      <c r="L13" s="16" t="n">
        <f aca="false">IF(H13=0,0,1-J13/H13)</f>
        <v>0.45</v>
      </c>
      <c r="M13" s="17" t="s">
        <v>114</v>
      </c>
      <c r="N13" s="18" t="s">
        <v>115</v>
      </c>
      <c r="O13" s="12" t="s">
        <v>116</v>
      </c>
      <c r="P13" s="19" t="s">
        <v>85</v>
      </c>
    </row>
    <row r="14" customFormat="false" ht="72" hidden="false" customHeight="true" outlineLevel="0" collapsed="false">
      <c r="A14" s="10" t="n">
        <v>10</v>
      </c>
      <c r="B14" s="11" t="s">
        <v>117</v>
      </c>
      <c r="C14" s="12" t="s">
        <v>118</v>
      </c>
      <c r="D14" s="10" t="s">
        <v>119</v>
      </c>
      <c r="E14" s="12" t="s">
        <v>120</v>
      </c>
      <c r="F14" s="10" t="s">
        <v>121</v>
      </c>
      <c r="G14" s="13" t="n">
        <f aca="false">MIN('Detalle Competencia'!G64:G70)</f>
        <v>100</v>
      </c>
      <c r="H14" s="13" t="n">
        <f aca="false">MEDIAN('Detalle Competencia'!G64:G70)</f>
        <v>240</v>
      </c>
      <c r="I14" s="13" t="n">
        <f aca="false">MAX('Detalle Competencia'!G64:G70)</f>
        <v>750</v>
      </c>
      <c r="J14" s="14" t="n">
        <f aca="false">ROUND(H14*Supuestos!$B$9,0)</f>
        <v>132</v>
      </c>
      <c r="K14" s="15" t="n">
        <f aca="false">ROUND(J14/Supuestos!$B$7,1)</f>
        <v>13.2</v>
      </c>
      <c r="L14" s="16" t="n">
        <f aca="false">IF(H14=0,0,1-J14/H14)</f>
        <v>0.45</v>
      </c>
      <c r="M14" s="17" t="s">
        <v>122</v>
      </c>
      <c r="N14" s="18" t="s">
        <v>123</v>
      </c>
      <c r="O14" s="12" t="s">
        <v>124</v>
      </c>
      <c r="P14" s="19" t="s">
        <v>76</v>
      </c>
    </row>
    <row r="15" customFormat="false" ht="72" hidden="false" customHeight="true" outlineLevel="0" collapsed="false">
      <c r="A15" s="10" t="n">
        <v>11</v>
      </c>
      <c r="B15" s="11" t="s">
        <v>125</v>
      </c>
      <c r="C15" s="12" t="s">
        <v>126</v>
      </c>
      <c r="D15" s="10" t="s">
        <v>127</v>
      </c>
      <c r="E15" s="12" t="s">
        <v>128</v>
      </c>
      <c r="F15" s="10" t="s">
        <v>129</v>
      </c>
      <c r="G15" s="13" t="n">
        <f aca="false">MIN('Detalle Competencia'!G71:G74)</f>
        <v>90</v>
      </c>
      <c r="H15" s="13" t="n">
        <f aca="false">MEDIAN('Detalle Competencia'!G71:G74)</f>
        <v>99.5</v>
      </c>
      <c r="I15" s="13" t="n">
        <f aca="false">MAX('Detalle Competencia'!G71:G76)</f>
        <v>2500</v>
      </c>
      <c r="J15" s="14" t="n">
        <f aca="false">ROUND(H15*Supuestos!$B$9,0)</f>
        <v>55</v>
      </c>
      <c r="K15" s="15" t="n">
        <f aca="false">ROUND(J15/Supuestos!$B$7,1)</f>
        <v>5.5</v>
      </c>
      <c r="L15" s="16" t="n">
        <f aca="false">IF(H15=0,0,1-J15/H15)</f>
        <v>0.447236180904523</v>
      </c>
      <c r="M15" s="17" t="s">
        <v>130</v>
      </c>
      <c r="N15" s="18" t="s">
        <v>131</v>
      </c>
      <c r="O15" s="12" t="s">
        <v>132</v>
      </c>
      <c r="P15" s="19" t="s">
        <v>133</v>
      </c>
    </row>
    <row r="16" customFormat="false" ht="72" hidden="false" customHeight="true" outlineLevel="0" collapsed="false">
      <c r="A16" s="10" t="n">
        <v>12</v>
      </c>
      <c r="B16" s="11" t="s">
        <v>134</v>
      </c>
      <c r="C16" s="12" t="s">
        <v>135</v>
      </c>
      <c r="D16" s="10" t="s">
        <v>136</v>
      </c>
      <c r="E16" s="12" t="s">
        <v>137</v>
      </c>
      <c r="F16" s="10" t="s">
        <v>138</v>
      </c>
      <c r="G16" s="13" t="n">
        <f aca="false">MIN('Detalle Competencia'!G77:G82)</f>
        <v>24</v>
      </c>
      <c r="H16" s="13" t="n">
        <f aca="false">MEDIAN('Detalle Competencia'!G77:G82)</f>
        <v>62</v>
      </c>
      <c r="I16" s="13" t="n">
        <f aca="false">MAX('Detalle Competencia'!G77:G82)</f>
        <v>199</v>
      </c>
      <c r="J16" s="14" t="n">
        <f aca="false">ROUND(H16*Supuestos!$B$9,0)</f>
        <v>34</v>
      </c>
      <c r="K16" s="15" t="n">
        <f aca="false">ROUND(J16/Supuestos!$B$7,1)</f>
        <v>3.4</v>
      </c>
      <c r="L16" s="16" t="n">
        <f aca="false">IF(H16=0,0,1-J16/H16)</f>
        <v>0.451612903225807</v>
      </c>
      <c r="M16" s="17" t="s">
        <v>139</v>
      </c>
      <c r="N16" s="18" t="s">
        <v>140</v>
      </c>
      <c r="O16" s="12" t="s">
        <v>141</v>
      </c>
      <c r="P16" s="19" t="s">
        <v>133</v>
      </c>
    </row>
    <row r="17" customFormat="false" ht="72" hidden="false" customHeight="true" outlineLevel="0" collapsed="false">
      <c r="A17" s="10" t="n">
        <v>13</v>
      </c>
      <c r="B17" s="11" t="s">
        <v>142</v>
      </c>
      <c r="C17" s="12" t="s">
        <v>143</v>
      </c>
      <c r="D17" s="10" t="s">
        <v>144</v>
      </c>
      <c r="E17" s="12" t="s">
        <v>145</v>
      </c>
      <c r="F17" s="10" t="s">
        <v>146</v>
      </c>
      <c r="G17" s="13" t="n">
        <f aca="false">MIN('Detalle Competencia'!G83:G90)</f>
        <v>24</v>
      </c>
      <c r="H17" s="13" t="n">
        <f aca="false">MEDIAN('Detalle Competencia'!G83:G90)</f>
        <v>49.5</v>
      </c>
      <c r="I17" s="13" t="n">
        <f aca="false">MAX('Detalle Competencia'!G83:G90)</f>
        <v>129</v>
      </c>
      <c r="J17" s="14" t="n">
        <f aca="false">ROUND(H17*Supuestos!$B$9,0)</f>
        <v>27</v>
      </c>
      <c r="K17" s="15" t="n">
        <f aca="false">ROUND(J17/Supuestos!$B$7,1)</f>
        <v>2.7</v>
      </c>
      <c r="L17" s="16" t="n">
        <f aca="false">IF(H17=0,0,1-J17/H17)</f>
        <v>0.454545454545455</v>
      </c>
      <c r="M17" s="17" t="s">
        <v>147</v>
      </c>
      <c r="N17" s="18" t="s">
        <v>148</v>
      </c>
      <c r="O17" s="12" t="s">
        <v>149</v>
      </c>
      <c r="P17" s="19" t="s">
        <v>109</v>
      </c>
    </row>
    <row r="18" customFormat="false" ht="72" hidden="false" customHeight="true" outlineLevel="0" collapsed="false">
      <c r="A18" s="10" t="n">
        <v>14</v>
      </c>
      <c r="B18" s="11" t="s">
        <v>150</v>
      </c>
      <c r="C18" s="12" t="s">
        <v>151</v>
      </c>
      <c r="D18" s="10" t="s">
        <v>152</v>
      </c>
      <c r="E18" s="12" t="s">
        <v>153</v>
      </c>
      <c r="F18" s="10" t="s">
        <v>154</v>
      </c>
      <c r="G18" s="13" t="n">
        <f aca="false">MIN('Detalle Competencia'!G91:G102)</f>
        <v>140</v>
      </c>
      <c r="H18" s="13" t="n">
        <f aca="false">MEDIAN('Detalle Competencia'!G91:G102)</f>
        <v>540</v>
      </c>
      <c r="I18" s="13" t="n">
        <f aca="false">MAX('Detalle Competencia'!G91:G102)</f>
        <v>1750</v>
      </c>
      <c r="J18" s="14" t="n">
        <f aca="false">ROUND(H18*Supuestos!$B$9,0)</f>
        <v>297</v>
      </c>
      <c r="K18" s="15" t="n">
        <f aca="false">ROUND(J18/Supuestos!$B$7,1)</f>
        <v>29.7</v>
      </c>
      <c r="L18" s="16" t="n">
        <f aca="false">IF(H18=0,0,1-J18/H18)</f>
        <v>0.45</v>
      </c>
      <c r="M18" s="17" t="s">
        <v>155</v>
      </c>
      <c r="N18" s="18" t="s">
        <v>156</v>
      </c>
      <c r="O18" s="12" t="s">
        <v>157</v>
      </c>
      <c r="P18" s="19" t="s">
        <v>158</v>
      </c>
    </row>
    <row r="19" customFormat="false" ht="72" hidden="false" customHeight="true" outlineLevel="0" collapsed="false">
      <c r="A19" s="10" t="n">
        <v>15</v>
      </c>
      <c r="B19" s="11" t="s">
        <v>159</v>
      </c>
      <c r="C19" s="12" t="s">
        <v>160</v>
      </c>
      <c r="D19" s="10" t="s">
        <v>161</v>
      </c>
      <c r="E19" s="12" t="s">
        <v>162</v>
      </c>
      <c r="F19" s="10" t="s">
        <v>163</v>
      </c>
      <c r="G19" s="13" t="n">
        <f aca="false">MIN('Detalle Competencia'!G103:G109)</f>
        <v>18</v>
      </c>
      <c r="H19" s="13" t="n">
        <f aca="false">MEDIAN('Detalle Competencia'!G103:G109)</f>
        <v>50</v>
      </c>
      <c r="I19" s="13" t="n">
        <f aca="false">MAX('Detalle Competencia'!G103:G109)</f>
        <v>2490</v>
      </c>
      <c r="J19" s="14" t="n">
        <f aca="false">ROUND(H19*Supuestos!$B$9,0)</f>
        <v>28</v>
      </c>
      <c r="K19" s="15" t="n">
        <f aca="false">ROUND(J19/Supuestos!$B$7,1)</f>
        <v>2.8</v>
      </c>
      <c r="L19" s="16" t="n">
        <f aca="false">IF(H19=0,0,1-J19/H19)</f>
        <v>0.44</v>
      </c>
      <c r="M19" s="17" t="s">
        <v>164</v>
      </c>
      <c r="N19" s="18" t="s">
        <v>165</v>
      </c>
      <c r="O19" s="12" t="s">
        <v>166</v>
      </c>
      <c r="P19" s="19" t="s">
        <v>76</v>
      </c>
    </row>
    <row r="20" customFormat="false" ht="72" hidden="false" customHeight="true" outlineLevel="0" collapsed="false">
      <c r="A20" s="10" t="n">
        <v>16</v>
      </c>
      <c r="B20" s="11" t="s">
        <v>167</v>
      </c>
      <c r="C20" s="12" t="s">
        <v>168</v>
      </c>
      <c r="D20" s="10" t="s">
        <v>169</v>
      </c>
      <c r="E20" s="12" t="s">
        <v>170</v>
      </c>
      <c r="F20" s="10" t="s">
        <v>171</v>
      </c>
      <c r="G20" s="13" t="n">
        <f aca="false">MIN('Detalle Competencia'!G110:G113)</f>
        <v>79.9</v>
      </c>
      <c r="H20" s="13" t="n">
        <f aca="false">MEDIAN('Detalle Competencia'!G110:G113)</f>
        <v>110</v>
      </c>
      <c r="I20" s="13" t="n">
        <f aca="false">MAX('Detalle Competencia'!G110:G113)</f>
        <v>130</v>
      </c>
      <c r="J20" s="14" t="n">
        <f aca="false">ROUND(H20*Supuestos!$B$9,0)</f>
        <v>61</v>
      </c>
      <c r="K20" s="15" t="n">
        <f aca="false">ROUND(J20/Supuestos!$B$7,1)</f>
        <v>6.1</v>
      </c>
      <c r="L20" s="16" t="n">
        <f aca="false">IF(H20=0,0,1-J20/H20)</f>
        <v>0.445454545454545</v>
      </c>
      <c r="M20" s="17" t="s">
        <v>172</v>
      </c>
      <c r="N20" s="18" t="s">
        <v>173</v>
      </c>
      <c r="O20" s="12" t="s">
        <v>174</v>
      </c>
      <c r="P20" s="19" t="s">
        <v>175</v>
      </c>
    </row>
    <row r="21" customFormat="false" ht="72" hidden="false" customHeight="true" outlineLevel="0" collapsed="false">
      <c r="A21" s="10" t="n">
        <v>17</v>
      </c>
      <c r="B21" s="11" t="s">
        <v>176</v>
      </c>
      <c r="C21" s="12" t="s">
        <v>177</v>
      </c>
      <c r="D21" s="10" t="s">
        <v>178</v>
      </c>
      <c r="E21" s="12" t="s">
        <v>179</v>
      </c>
      <c r="F21" s="10" t="s">
        <v>180</v>
      </c>
      <c r="G21" s="13" t="n">
        <f aca="false">MIN('Detalle Competencia'!G114:G119)</f>
        <v>29</v>
      </c>
      <c r="H21" s="13" t="n">
        <f aca="false">MEDIAN('Detalle Competencia'!G114:G119)</f>
        <v>104.5</v>
      </c>
      <c r="I21" s="13" t="n">
        <f aca="false">MAX('Detalle Competencia'!G114:G119)</f>
        <v>400</v>
      </c>
      <c r="J21" s="14" t="n">
        <f aca="false">ROUND(H21*Supuestos!$B$9,0)</f>
        <v>57</v>
      </c>
      <c r="K21" s="15" t="n">
        <f aca="false">ROUND(J21/Supuestos!$B$7,1)</f>
        <v>5.7</v>
      </c>
      <c r="L21" s="16" t="n">
        <f aca="false">IF(H21=0,0,1-J21/H21)</f>
        <v>0.454545454545455</v>
      </c>
      <c r="M21" s="17" t="s">
        <v>181</v>
      </c>
      <c r="N21" s="18" t="s">
        <v>182</v>
      </c>
      <c r="O21" s="12" t="s">
        <v>183</v>
      </c>
      <c r="P21" s="20" t="s">
        <v>184</v>
      </c>
    </row>
    <row r="22" customFormat="false" ht="72" hidden="false" customHeight="true" outlineLevel="0" collapsed="false">
      <c r="A22" s="10" t="n">
        <v>18</v>
      </c>
      <c r="B22" s="11" t="s">
        <v>185</v>
      </c>
      <c r="C22" s="12" t="s">
        <v>186</v>
      </c>
      <c r="D22" s="10" t="s">
        <v>187</v>
      </c>
      <c r="E22" s="12" t="s">
        <v>188</v>
      </c>
      <c r="F22" s="10" t="s">
        <v>189</v>
      </c>
      <c r="G22" s="13" t="n">
        <f aca="false">MIN('Detalle Competencia'!G120:G126)</f>
        <v>100</v>
      </c>
      <c r="H22" s="13" t="n">
        <f aca="false">MEDIAN('Detalle Competencia'!G120:G126)</f>
        <v>390</v>
      </c>
      <c r="I22" s="13" t="n">
        <f aca="false">MAX('Detalle Competencia'!G120:G126)</f>
        <v>800</v>
      </c>
      <c r="J22" s="14" t="n">
        <f aca="false">ROUND(H22*Supuestos!$B$9,0)</f>
        <v>215</v>
      </c>
      <c r="K22" s="15" t="n">
        <f aca="false">ROUND(J22/Supuestos!$B$7,1)</f>
        <v>21.5</v>
      </c>
      <c r="L22" s="16" t="n">
        <f aca="false">IF(H22=0,0,1-J22/H22)</f>
        <v>0.448717948717949</v>
      </c>
      <c r="M22" s="17" t="s">
        <v>190</v>
      </c>
      <c r="N22" s="18" t="s">
        <v>191</v>
      </c>
      <c r="O22" s="12" t="s">
        <v>192</v>
      </c>
      <c r="P22" s="19" t="s">
        <v>76</v>
      </c>
    </row>
    <row r="23" customFormat="false" ht="72" hidden="false" customHeight="true" outlineLevel="0" collapsed="false">
      <c r="A23" s="10" t="n">
        <v>19</v>
      </c>
      <c r="B23" s="11" t="s">
        <v>193</v>
      </c>
      <c r="C23" s="12" t="s">
        <v>194</v>
      </c>
      <c r="D23" s="10" t="s">
        <v>195</v>
      </c>
      <c r="E23" s="12" t="s">
        <v>196</v>
      </c>
      <c r="F23" s="10" t="s">
        <v>197</v>
      </c>
      <c r="G23" s="13" t="n">
        <f aca="false">MIN('Detalle Competencia'!G127:G129)</f>
        <v>300</v>
      </c>
      <c r="H23" s="13" t="n">
        <f aca="false">MEDIAN('Detalle Competencia'!G127:G129)</f>
        <v>499</v>
      </c>
      <c r="I23" s="13" t="n">
        <f aca="false">MAX('Detalle Competencia'!G127:G131)</f>
        <v>6250</v>
      </c>
      <c r="J23" s="14" t="n">
        <f aca="false">ROUND(H23*Supuestos!$B$9,0)</f>
        <v>274</v>
      </c>
      <c r="K23" s="15" t="n">
        <f aca="false">ROUND(J23/Supuestos!$B$7,1)</f>
        <v>27.4</v>
      </c>
      <c r="L23" s="16" t="n">
        <f aca="false">IF(H23=0,0,1-J23/H23)</f>
        <v>0.450901803607214</v>
      </c>
      <c r="M23" s="17" t="s">
        <v>198</v>
      </c>
      <c r="N23" s="18" t="s">
        <v>199</v>
      </c>
      <c r="O23" s="12" t="s">
        <v>200</v>
      </c>
      <c r="P23" s="19" t="s">
        <v>50</v>
      </c>
    </row>
    <row r="24" customFormat="false" ht="72" hidden="false" customHeight="true" outlineLevel="0" collapsed="false">
      <c r="A24" s="10" t="n">
        <v>20</v>
      </c>
      <c r="B24" s="11" t="s">
        <v>201</v>
      </c>
      <c r="C24" s="12" t="s">
        <v>202</v>
      </c>
      <c r="D24" s="10" t="s">
        <v>203</v>
      </c>
      <c r="E24" s="12" t="s">
        <v>204</v>
      </c>
      <c r="F24" s="10" t="s">
        <v>205</v>
      </c>
      <c r="G24" s="13" t="n">
        <f aca="false">MIN('Detalle Competencia'!G132:G138)</f>
        <v>17</v>
      </c>
      <c r="H24" s="13" t="n">
        <f aca="false">MEDIAN('Detalle Competencia'!G132:G138)</f>
        <v>105</v>
      </c>
      <c r="I24" s="13" t="n">
        <f aca="false">MAX('Detalle Competencia'!G132:G138)</f>
        <v>399</v>
      </c>
      <c r="J24" s="14" t="n">
        <f aca="false">ROUND(H24*Supuestos!$B$9,0)</f>
        <v>58</v>
      </c>
      <c r="K24" s="15" t="n">
        <f aca="false">ROUND(J24/Supuestos!$B$7,1)</f>
        <v>5.8</v>
      </c>
      <c r="L24" s="16" t="n">
        <f aca="false">IF(H24=0,0,1-J24/H24)</f>
        <v>0.447619047619048</v>
      </c>
      <c r="M24" s="17" t="s">
        <v>206</v>
      </c>
      <c r="N24" s="18" t="s">
        <v>207</v>
      </c>
      <c r="O24" s="12" t="s">
        <v>208</v>
      </c>
      <c r="P24" s="19" t="s">
        <v>76</v>
      </c>
    </row>
    <row r="25" customFormat="false" ht="72" hidden="false" customHeight="true" outlineLevel="0" collapsed="false">
      <c r="A25" s="10" t="n">
        <v>21</v>
      </c>
      <c r="B25" s="11" t="s">
        <v>209</v>
      </c>
      <c r="C25" s="12" t="s">
        <v>210</v>
      </c>
      <c r="D25" s="10" t="s">
        <v>211</v>
      </c>
      <c r="E25" s="12" t="s">
        <v>212</v>
      </c>
      <c r="F25" s="10" t="s">
        <v>213</v>
      </c>
      <c r="G25" s="13" t="n">
        <f aca="false">MIN('Detalle Competencia'!G139:G143)</f>
        <v>9</v>
      </c>
      <c r="H25" s="13" t="n">
        <f aca="false">MEDIAN('Detalle Competencia'!G139:G143)</f>
        <v>24</v>
      </c>
      <c r="I25" s="13" t="n">
        <f aca="false">MAX('Detalle Competencia'!G139:G143)</f>
        <v>300</v>
      </c>
      <c r="J25" s="14" t="n">
        <f aca="false">ROUND(H25*Supuestos!$B$9,0)</f>
        <v>13</v>
      </c>
      <c r="K25" s="15" t="n">
        <f aca="false">ROUND(J25/Supuestos!$B$7,1)</f>
        <v>1.3</v>
      </c>
      <c r="L25" s="16" t="n">
        <f aca="false">IF(H25=0,0,1-J25/H25)</f>
        <v>0.458333333333333</v>
      </c>
      <c r="M25" s="17" t="s">
        <v>214</v>
      </c>
      <c r="N25" s="18" t="s">
        <v>215</v>
      </c>
      <c r="O25" s="12" t="s">
        <v>216</v>
      </c>
      <c r="P25" s="20" t="s">
        <v>217</v>
      </c>
    </row>
    <row r="26" customFormat="false" ht="72" hidden="false" customHeight="true" outlineLevel="0" collapsed="false">
      <c r="A26" s="10" t="n">
        <v>22</v>
      </c>
      <c r="B26" s="11" t="s">
        <v>218</v>
      </c>
      <c r="C26" s="12" t="s">
        <v>219</v>
      </c>
      <c r="D26" s="10" t="s">
        <v>220</v>
      </c>
      <c r="E26" s="12" t="s">
        <v>221</v>
      </c>
      <c r="F26" s="10" t="s">
        <v>222</v>
      </c>
      <c r="G26" s="13" t="n">
        <f aca="false">MIN('Detalle Competencia'!G144:G149)</f>
        <v>49</v>
      </c>
      <c r="H26" s="13" t="n">
        <f aca="false">MEDIAN('Detalle Competencia'!G144:G149)</f>
        <v>139.5</v>
      </c>
      <c r="I26" s="13" t="n">
        <f aca="false">MAX('Detalle Competencia'!G144:G149)</f>
        <v>260</v>
      </c>
      <c r="J26" s="14" t="n">
        <f aca="false">ROUND(H26*Supuestos!$B$9,0)</f>
        <v>77</v>
      </c>
      <c r="K26" s="15" t="n">
        <f aca="false">ROUND(J26/Supuestos!$B$7,1)</f>
        <v>7.7</v>
      </c>
      <c r="L26" s="16" t="n">
        <f aca="false">IF(H26=0,0,1-J26/H26)</f>
        <v>0.448028673835125</v>
      </c>
      <c r="M26" s="17" t="s">
        <v>223</v>
      </c>
      <c r="N26" s="18" t="s">
        <v>224</v>
      </c>
      <c r="O26" s="12" t="s">
        <v>225</v>
      </c>
      <c r="P26" s="19" t="s">
        <v>133</v>
      </c>
    </row>
    <row r="27" customFormat="false" ht="72" hidden="false" customHeight="true" outlineLevel="0" collapsed="false">
      <c r="A27" s="10" t="n">
        <v>23</v>
      </c>
      <c r="B27" s="11" t="s">
        <v>226</v>
      </c>
      <c r="C27" s="12" t="s">
        <v>227</v>
      </c>
      <c r="D27" s="10" t="s">
        <v>228</v>
      </c>
      <c r="E27" s="12" t="s">
        <v>229</v>
      </c>
      <c r="F27" s="10" t="s">
        <v>230</v>
      </c>
      <c r="G27" s="13" t="n">
        <f aca="false">MIN('Detalle Competencia'!G150:G152)</f>
        <v>15</v>
      </c>
      <c r="H27" s="13" t="n">
        <f aca="false">MEDIAN('Detalle Competencia'!G150:G152)</f>
        <v>59</v>
      </c>
      <c r="I27" s="13" t="n">
        <f aca="false">MAX('Detalle Competencia'!G150:G154)</f>
        <v>4990</v>
      </c>
      <c r="J27" s="14" t="n">
        <f aca="false">ROUND(H27*Supuestos!$B$9,0)</f>
        <v>32</v>
      </c>
      <c r="K27" s="15" t="n">
        <f aca="false">ROUND(J27/Supuestos!$B$7,1)</f>
        <v>3.2</v>
      </c>
      <c r="L27" s="16" t="n">
        <f aca="false">IF(H27=0,0,1-J27/H27)</f>
        <v>0.457627118644068</v>
      </c>
      <c r="M27" s="17" t="s">
        <v>231</v>
      </c>
      <c r="N27" s="18" t="s">
        <v>232</v>
      </c>
      <c r="O27" s="12" t="s">
        <v>233</v>
      </c>
      <c r="P27" s="20" t="s">
        <v>234</v>
      </c>
    </row>
    <row r="28" customFormat="false" ht="72" hidden="false" customHeight="true" outlineLevel="0" collapsed="false">
      <c r="A28" s="10" t="n">
        <v>24</v>
      </c>
      <c r="B28" s="11" t="s">
        <v>235</v>
      </c>
      <c r="C28" s="12" t="s">
        <v>236</v>
      </c>
      <c r="D28" s="10" t="s">
        <v>237</v>
      </c>
      <c r="E28" s="12" t="s">
        <v>238</v>
      </c>
      <c r="F28" s="10" t="s">
        <v>46</v>
      </c>
      <c r="G28" s="13" t="n">
        <f aca="false">MIN('Detalle Competencia'!G155:G158)</f>
        <v>9</v>
      </c>
      <c r="H28" s="13" t="n">
        <f aca="false">MEDIAN('Detalle Competencia'!G155:G158)</f>
        <v>21.995</v>
      </c>
      <c r="I28" s="13" t="n">
        <f aca="false">MAX('Detalle Competencia'!G155:G158)</f>
        <v>69</v>
      </c>
      <c r="J28" s="14" t="n">
        <f aca="false">ROUND(H28*Supuestos!$B$9,0)</f>
        <v>12</v>
      </c>
      <c r="K28" s="15" t="n">
        <f aca="false">ROUND(J28/Supuestos!$B$7,1)</f>
        <v>1.2</v>
      </c>
      <c r="L28" s="16" t="n">
        <f aca="false">IF(H28=0,0,1-J28/H28)</f>
        <v>0.454421459422596</v>
      </c>
      <c r="M28" s="17" t="s">
        <v>239</v>
      </c>
      <c r="N28" s="18" t="s">
        <v>240</v>
      </c>
      <c r="O28" s="12" t="s">
        <v>241</v>
      </c>
      <c r="P28" s="19" t="s">
        <v>242</v>
      </c>
    </row>
    <row r="30" customFormat="false" ht="15" hidden="false" customHeight="false" outlineLevel="0" collapsed="false">
      <c r="B30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38"/>
    <col collapsed="false" customWidth="true" hidden="false" outlineLevel="0" max="10" min="10" style="0" width="48"/>
    <col collapsed="false" customWidth="true" hidden="false" outlineLevel="0" max="11" min="11" style="0" width="13"/>
  </cols>
  <sheetData>
    <row r="1" customFormat="false" ht="18.5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33.75" hidden="false" customHeight="true" outlineLevel="0" collapsed="false">
      <c r="A4" s="9" t="s">
        <v>27</v>
      </c>
      <c r="B4" s="9" t="s">
        <v>246</v>
      </c>
      <c r="C4" s="9" t="s">
        <v>247</v>
      </c>
      <c r="D4" s="9" t="s">
        <v>248</v>
      </c>
      <c r="E4" s="9" t="s">
        <v>249</v>
      </c>
      <c r="F4" s="9" t="s">
        <v>250</v>
      </c>
      <c r="G4" s="9" t="s">
        <v>251</v>
      </c>
      <c r="H4" s="9" t="s">
        <v>252</v>
      </c>
      <c r="I4" s="9" t="s">
        <v>253</v>
      </c>
      <c r="J4" s="9" t="s">
        <v>254</v>
      </c>
      <c r="K4" s="9" t="s">
        <v>41</v>
      </c>
    </row>
    <row r="5" customFormat="false" ht="15" hidden="false" customHeight="false" outlineLevel="0" collapsed="false">
      <c r="A5" s="4" t="s">
        <v>42</v>
      </c>
      <c r="B5" s="4" t="s">
        <v>255</v>
      </c>
      <c r="C5" s="4" t="s">
        <v>256</v>
      </c>
      <c r="D5" s="21" t="n">
        <v>20</v>
      </c>
      <c r="E5" s="4" t="s">
        <v>36</v>
      </c>
      <c r="F5" s="22" t="n">
        <f aca="false">IF(E5="Por usuario",Supuestos!$B$7,IF(E5="Por canal",Supuestos!$B$8,1))</f>
        <v>10</v>
      </c>
      <c r="G5" s="23" t="n">
        <f aca="false">D5*F5</f>
        <v>200</v>
      </c>
      <c r="H5" s="24" t="s">
        <v>257</v>
      </c>
      <c r="I5" s="4" t="s">
        <v>258</v>
      </c>
      <c r="J5" s="24" t="s">
        <v>259</v>
      </c>
      <c r="K5" s="25" t="s">
        <v>260</v>
      </c>
    </row>
    <row r="6" customFormat="false" ht="15" hidden="false" customHeight="false" outlineLevel="0" collapsed="false">
      <c r="A6" s="4" t="s">
        <v>42</v>
      </c>
      <c r="B6" s="4" t="s">
        <v>261</v>
      </c>
      <c r="C6" s="4" t="s">
        <v>262</v>
      </c>
      <c r="D6" s="21" t="n">
        <v>25</v>
      </c>
      <c r="E6" s="4" t="s">
        <v>36</v>
      </c>
      <c r="F6" s="22" t="n">
        <f aca="false">IF(E6="Por usuario",Supuestos!$B$7,IF(E6="Por canal",Supuestos!$B$8,1))</f>
        <v>10</v>
      </c>
      <c r="G6" s="23" t="n">
        <f aca="false">D6*F6</f>
        <v>250</v>
      </c>
      <c r="H6" s="24" t="s">
        <v>257</v>
      </c>
      <c r="I6" s="4"/>
      <c r="J6" s="24" t="s">
        <v>259</v>
      </c>
      <c r="K6" s="25" t="s">
        <v>260</v>
      </c>
    </row>
    <row r="7" customFormat="false" ht="15" hidden="false" customHeight="false" outlineLevel="0" collapsed="false">
      <c r="A7" s="4" t="s">
        <v>42</v>
      </c>
      <c r="B7" s="4" t="s">
        <v>263</v>
      </c>
      <c r="C7" s="4" t="s">
        <v>262</v>
      </c>
      <c r="D7" s="21" t="n">
        <v>25</v>
      </c>
      <c r="E7" s="4" t="s">
        <v>36</v>
      </c>
      <c r="F7" s="22" t="n">
        <f aca="false">IF(E7="Por usuario",Supuestos!$B$7,IF(E7="Por canal",Supuestos!$B$8,1))</f>
        <v>10</v>
      </c>
      <c r="G7" s="23" t="n">
        <f aca="false">D7*F7</f>
        <v>250</v>
      </c>
      <c r="H7" s="24" t="s">
        <v>257</v>
      </c>
      <c r="I7" s="4" t="s">
        <v>264</v>
      </c>
      <c r="J7" s="24" t="s">
        <v>265</v>
      </c>
      <c r="K7" s="25" t="s">
        <v>260</v>
      </c>
    </row>
    <row r="8" customFormat="false" ht="15" hidden="false" customHeight="false" outlineLevel="0" collapsed="false">
      <c r="A8" s="4" t="s">
        <v>42</v>
      </c>
      <c r="B8" s="4" t="s">
        <v>266</v>
      </c>
      <c r="C8" s="4" t="s">
        <v>256</v>
      </c>
      <c r="D8" s="21" t="n">
        <v>21</v>
      </c>
      <c r="E8" s="4" t="s">
        <v>36</v>
      </c>
      <c r="F8" s="22" t="n">
        <f aca="false">IF(E8="Por usuario",Supuestos!$B$7,IF(E8="Por canal",Supuestos!$B$8,1))</f>
        <v>10</v>
      </c>
      <c r="G8" s="23" t="n">
        <f aca="false">D8*F8</f>
        <v>210</v>
      </c>
      <c r="H8" s="24" t="s">
        <v>257</v>
      </c>
      <c r="I8" s="4" t="s">
        <v>267</v>
      </c>
      <c r="J8" s="24" t="s">
        <v>268</v>
      </c>
      <c r="K8" s="25" t="s">
        <v>260</v>
      </c>
    </row>
    <row r="9" customFormat="false" ht="15" hidden="false" customHeight="false" outlineLevel="0" collapsed="false">
      <c r="A9" s="4" t="s">
        <v>42</v>
      </c>
      <c r="B9" s="4" t="s">
        <v>269</v>
      </c>
      <c r="C9" s="4" t="s">
        <v>270</v>
      </c>
      <c r="D9" s="21" t="n">
        <v>19</v>
      </c>
      <c r="E9" s="4" t="s">
        <v>271</v>
      </c>
      <c r="F9" s="22" t="n">
        <f aca="false">IF(E9="Por usuario",Supuestos!$B$7,IF(E9="Por canal",Supuestos!$B$8,1))</f>
        <v>1</v>
      </c>
      <c r="G9" s="23" t="n">
        <f aca="false">D9*F9</f>
        <v>19</v>
      </c>
      <c r="H9" s="24" t="s">
        <v>257</v>
      </c>
      <c r="I9" s="4" t="s">
        <v>272</v>
      </c>
      <c r="J9" s="24" t="s">
        <v>273</v>
      </c>
      <c r="K9" s="26" t="s">
        <v>274</v>
      </c>
    </row>
    <row r="10" customFormat="false" ht="15" hidden="false" customHeight="false" outlineLevel="0" collapsed="false">
      <c r="A10" s="4" t="s">
        <v>51</v>
      </c>
      <c r="B10" s="4" t="s">
        <v>275</v>
      </c>
      <c r="C10" s="4" t="s">
        <v>276</v>
      </c>
      <c r="D10" s="21" t="n">
        <v>19.99</v>
      </c>
      <c r="E10" s="4" t="s">
        <v>271</v>
      </c>
      <c r="F10" s="22" t="n">
        <f aca="false">IF(E10="Por usuario",Supuestos!$B$7,IF(E10="Por canal",Supuestos!$B$8,1))</f>
        <v>1</v>
      </c>
      <c r="G10" s="23" t="n">
        <f aca="false">D10*F10</f>
        <v>19.99</v>
      </c>
      <c r="H10" s="24" t="s">
        <v>257</v>
      </c>
      <c r="I10" s="4" t="s">
        <v>277</v>
      </c>
      <c r="J10" s="24" t="s">
        <v>278</v>
      </c>
      <c r="K10" s="25" t="s">
        <v>260</v>
      </c>
    </row>
    <row r="11" customFormat="false" ht="15" hidden="false" customHeight="false" outlineLevel="0" collapsed="false">
      <c r="A11" s="4" t="s">
        <v>51</v>
      </c>
      <c r="B11" s="4" t="s">
        <v>275</v>
      </c>
      <c r="C11" s="4" t="s">
        <v>262</v>
      </c>
      <c r="D11" s="21" t="n">
        <v>69</v>
      </c>
      <c r="E11" s="4" t="s">
        <v>271</v>
      </c>
      <c r="F11" s="22" t="n">
        <f aca="false">IF(E11="Por usuario",Supuestos!$B$7,IF(E11="Por canal",Supuestos!$B$8,1))</f>
        <v>1</v>
      </c>
      <c r="G11" s="23" t="n">
        <f aca="false">D11*F11</f>
        <v>69</v>
      </c>
      <c r="H11" s="24" t="s">
        <v>257</v>
      </c>
      <c r="I11" s="4" t="s">
        <v>279</v>
      </c>
      <c r="J11" s="24" t="s">
        <v>278</v>
      </c>
      <c r="K11" s="25" t="s">
        <v>260</v>
      </c>
    </row>
    <row r="12" customFormat="false" ht="15" hidden="false" customHeight="false" outlineLevel="0" collapsed="false">
      <c r="A12" s="4" t="s">
        <v>51</v>
      </c>
      <c r="B12" s="4" t="s">
        <v>280</v>
      </c>
      <c r="C12" s="4" t="s">
        <v>281</v>
      </c>
      <c r="D12" s="21" t="n">
        <v>49.99</v>
      </c>
      <c r="E12" s="4" t="s">
        <v>271</v>
      </c>
      <c r="F12" s="22" t="n">
        <f aca="false">IF(E12="Por usuario",Supuestos!$B$7,IF(E12="Por canal",Supuestos!$B$8,1))</f>
        <v>1</v>
      </c>
      <c r="G12" s="23" t="n">
        <f aca="false">D12*F12</f>
        <v>49.99</v>
      </c>
      <c r="H12" s="24" t="s">
        <v>257</v>
      </c>
      <c r="I12" s="4" t="s">
        <v>282</v>
      </c>
      <c r="J12" s="24" t="s">
        <v>283</v>
      </c>
      <c r="K12" s="25" t="s">
        <v>260</v>
      </c>
    </row>
    <row r="13" customFormat="false" ht="15" hidden="false" customHeight="false" outlineLevel="0" collapsed="false">
      <c r="A13" s="4" t="s">
        <v>51</v>
      </c>
      <c r="B13" s="4" t="s">
        <v>280</v>
      </c>
      <c r="C13" s="4" t="s">
        <v>284</v>
      </c>
      <c r="D13" s="21" t="n">
        <v>99.99</v>
      </c>
      <c r="E13" s="4" t="s">
        <v>271</v>
      </c>
      <c r="F13" s="22" t="n">
        <f aca="false">IF(E13="Por usuario",Supuestos!$B$7,IF(E13="Por canal",Supuestos!$B$8,1))</f>
        <v>1</v>
      </c>
      <c r="G13" s="23" t="n">
        <f aca="false">D13*F13</f>
        <v>99.99</v>
      </c>
      <c r="H13" s="24" t="s">
        <v>257</v>
      </c>
      <c r="I13" s="4"/>
      <c r="J13" s="24" t="s">
        <v>283</v>
      </c>
      <c r="K13" s="25" t="s">
        <v>260</v>
      </c>
    </row>
    <row r="14" customFormat="false" ht="15" hidden="false" customHeight="false" outlineLevel="0" collapsed="false">
      <c r="A14" s="4" t="s">
        <v>51</v>
      </c>
      <c r="B14" s="4" t="s">
        <v>280</v>
      </c>
      <c r="C14" s="4" t="s">
        <v>285</v>
      </c>
      <c r="D14" s="21" t="n">
        <v>199.99</v>
      </c>
      <c r="E14" s="4" t="s">
        <v>271</v>
      </c>
      <c r="F14" s="22" t="n">
        <f aca="false">IF(E14="Por usuario",Supuestos!$B$7,IF(E14="Por canal",Supuestos!$B$8,1))</f>
        <v>1</v>
      </c>
      <c r="G14" s="23" t="n">
        <f aca="false">D14*F14</f>
        <v>199.99</v>
      </c>
      <c r="H14" s="24" t="s">
        <v>257</v>
      </c>
      <c r="I14" s="4"/>
      <c r="J14" s="24" t="s">
        <v>283</v>
      </c>
      <c r="K14" s="25" t="s">
        <v>260</v>
      </c>
    </row>
    <row r="15" customFormat="false" ht="15" hidden="false" customHeight="false" outlineLevel="0" collapsed="false">
      <c r="A15" s="4" t="s">
        <v>51</v>
      </c>
      <c r="B15" s="4" t="s">
        <v>286</v>
      </c>
      <c r="C15" s="4" t="s">
        <v>287</v>
      </c>
      <c r="D15" s="21" t="n">
        <v>20</v>
      </c>
      <c r="E15" s="4" t="s">
        <v>36</v>
      </c>
      <c r="F15" s="22" t="n">
        <f aca="false">IF(E15="Por usuario",Supuestos!$B$7,IF(E15="Por canal",Supuestos!$B$8,1))</f>
        <v>10</v>
      </c>
      <c r="G15" s="23" t="n">
        <f aca="false">D15*F15</f>
        <v>200</v>
      </c>
      <c r="H15" s="24" t="s">
        <v>257</v>
      </c>
      <c r="I15" s="4" t="s">
        <v>288</v>
      </c>
      <c r="J15" s="24" t="s">
        <v>289</v>
      </c>
      <c r="K15" s="25" t="s">
        <v>260</v>
      </c>
    </row>
    <row r="16" customFormat="false" ht="15" hidden="false" customHeight="false" outlineLevel="0" collapsed="false">
      <c r="A16" s="4" t="s">
        <v>60</v>
      </c>
      <c r="B16" s="4" t="s">
        <v>290</v>
      </c>
      <c r="C16" s="4" t="s">
        <v>270</v>
      </c>
      <c r="D16" s="21" t="n">
        <v>24.17</v>
      </c>
      <c r="E16" s="4" t="s">
        <v>271</v>
      </c>
      <c r="F16" s="22" t="n">
        <f aca="false">IF(E16="Por usuario",Supuestos!$B$7,IF(E16="Por canal",Supuestos!$B$8,1))</f>
        <v>1</v>
      </c>
      <c r="G16" s="23" t="n">
        <f aca="false">D16*F16</f>
        <v>24.17</v>
      </c>
      <c r="H16" s="24" t="s">
        <v>257</v>
      </c>
      <c r="I16" s="4" t="s">
        <v>291</v>
      </c>
      <c r="J16" s="24" t="s">
        <v>292</v>
      </c>
      <c r="K16" s="25" t="s">
        <v>260</v>
      </c>
    </row>
    <row r="17" customFormat="false" ht="15" hidden="false" customHeight="false" outlineLevel="0" collapsed="false">
      <c r="A17" s="4" t="s">
        <v>60</v>
      </c>
      <c r="B17" s="4" t="s">
        <v>290</v>
      </c>
      <c r="C17" s="4" t="s">
        <v>293</v>
      </c>
      <c r="D17" s="21" t="n">
        <v>49.17</v>
      </c>
      <c r="E17" s="4" t="s">
        <v>271</v>
      </c>
      <c r="F17" s="22" t="n">
        <f aca="false">IF(E17="Por usuario",Supuestos!$B$7,IF(E17="Por canal",Supuestos!$B$8,1))</f>
        <v>1</v>
      </c>
      <c r="G17" s="23" t="n">
        <f aca="false">D17*F17</f>
        <v>49.17</v>
      </c>
      <c r="H17" s="24" t="s">
        <v>257</v>
      </c>
      <c r="I17" s="4" t="s">
        <v>291</v>
      </c>
      <c r="J17" s="24" t="s">
        <v>292</v>
      </c>
      <c r="K17" s="25" t="s">
        <v>260</v>
      </c>
    </row>
    <row r="18" customFormat="false" ht="15" hidden="false" customHeight="false" outlineLevel="0" collapsed="false">
      <c r="A18" s="4" t="s">
        <v>60</v>
      </c>
      <c r="B18" s="4" t="s">
        <v>290</v>
      </c>
      <c r="C18" s="4" t="s">
        <v>281</v>
      </c>
      <c r="D18" s="21" t="n">
        <v>300</v>
      </c>
      <c r="E18" s="4" t="s">
        <v>271</v>
      </c>
      <c r="F18" s="22" t="n">
        <f aca="false">IF(E18="Por usuario",Supuestos!$B$7,IF(E18="Por canal",Supuestos!$B$8,1))</f>
        <v>1</v>
      </c>
      <c r="G18" s="23" t="n">
        <f aca="false">D18*F18</f>
        <v>300</v>
      </c>
      <c r="H18" s="24" t="s">
        <v>257</v>
      </c>
      <c r="I18" s="4" t="s">
        <v>291</v>
      </c>
      <c r="J18" s="24" t="s">
        <v>292</v>
      </c>
      <c r="K18" s="25" t="s">
        <v>260</v>
      </c>
    </row>
    <row r="19" customFormat="false" ht="15" hidden="false" customHeight="false" outlineLevel="0" collapsed="false">
      <c r="A19" s="4" t="s">
        <v>60</v>
      </c>
      <c r="B19" s="4" t="s">
        <v>294</v>
      </c>
      <c r="C19" s="4" t="s">
        <v>295</v>
      </c>
      <c r="D19" s="21" t="n">
        <v>29</v>
      </c>
      <c r="E19" s="4" t="s">
        <v>36</v>
      </c>
      <c r="F19" s="22" t="n">
        <f aca="false">IF(E19="Por usuario",Supuestos!$B$7,IF(E19="Por canal",Supuestos!$B$8,1))</f>
        <v>10</v>
      </c>
      <c r="G19" s="23" t="n">
        <f aca="false">D19*F19</f>
        <v>290</v>
      </c>
      <c r="H19" s="24" t="s">
        <v>257</v>
      </c>
      <c r="I19" s="4" t="s">
        <v>296</v>
      </c>
      <c r="J19" s="24" t="s">
        <v>297</v>
      </c>
      <c r="K19" s="25" t="s">
        <v>260</v>
      </c>
    </row>
    <row r="20" customFormat="false" ht="15" hidden="false" customHeight="false" outlineLevel="0" collapsed="false">
      <c r="A20" s="4" t="s">
        <v>60</v>
      </c>
      <c r="B20" s="4" t="s">
        <v>294</v>
      </c>
      <c r="C20" s="4" t="s">
        <v>298</v>
      </c>
      <c r="D20" s="21" t="n">
        <v>85</v>
      </c>
      <c r="E20" s="4" t="s">
        <v>36</v>
      </c>
      <c r="F20" s="22" t="n">
        <f aca="false">IF(E20="Por usuario",Supuestos!$B$7,IF(E20="Por canal",Supuestos!$B$8,1))</f>
        <v>10</v>
      </c>
      <c r="G20" s="23" t="n">
        <f aca="false">D20*F20</f>
        <v>850</v>
      </c>
      <c r="H20" s="24" t="s">
        <v>257</v>
      </c>
      <c r="I20" s="4" t="s">
        <v>299</v>
      </c>
      <c r="J20" s="24" t="s">
        <v>297</v>
      </c>
      <c r="K20" s="25" t="s">
        <v>260</v>
      </c>
    </row>
    <row r="21" customFormat="false" ht="15" hidden="false" customHeight="false" outlineLevel="0" collapsed="false">
      <c r="A21" s="4" t="s">
        <v>60</v>
      </c>
      <c r="B21" s="4" t="s">
        <v>294</v>
      </c>
      <c r="C21" s="4" t="s">
        <v>300</v>
      </c>
      <c r="D21" s="21" t="n">
        <v>132</v>
      </c>
      <c r="E21" s="4" t="s">
        <v>36</v>
      </c>
      <c r="F21" s="22" t="n">
        <f aca="false">IF(E21="Por usuario",Supuestos!$B$7,IF(E21="Por canal",Supuestos!$B$8,1))</f>
        <v>10</v>
      </c>
      <c r="G21" s="23" t="n">
        <f aca="false">D21*F21</f>
        <v>1320</v>
      </c>
      <c r="H21" s="24" t="s">
        <v>257</v>
      </c>
      <c r="I21" s="4"/>
      <c r="J21" s="24" t="s">
        <v>297</v>
      </c>
      <c r="K21" s="25" t="s">
        <v>260</v>
      </c>
    </row>
    <row r="22" customFormat="false" ht="15" hidden="false" customHeight="false" outlineLevel="0" collapsed="false">
      <c r="A22" s="4" t="s">
        <v>60</v>
      </c>
      <c r="B22" s="4" t="s">
        <v>301</v>
      </c>
      <c r="C22" s="4" t="s">
        <v>302</v>
      </c>
      <c r="D22" s="21" t="n">
        <v>120</v>
      </c>
      <c r="E22" s="4" t="s">
        <v>271</v>
      </c>
      <c r="F22" s="22" t="n">
        <f aca="false">IF(E22="Por usuario",Supuestos!$B$7,IF(E22="Por canal",Supuestos!$B$8,1))</f>
        <v>1</v>
      </c>
      <c r="G22" s="23" t="n">
        <f aca="false">D22*F22</f>
        <v>120</v>
      </c>
      <c r="H22" s="24" t="s">
        <v>257</v>
      </c>
      <c r="I22" s="4" t="s">
        <v>303</v>
      </c>
      <c r="J22" s="24" t="s">
        <v>304</v>
      </c>
      <c r="K22" s="25" t="s">
        <v>260</v>
      </c>
    </row>
    <row r="23" customFormat="false" ht="15" hidden="false" customHeight="false" outlineLevel="0" collapsed="false">
      <c r="A23" s="4" t="s">
        <v>60</v>
      </c>
      <c r="B23" s="4" t="s">
        <v>305</v>
      </c>
      <c r="C23" s="4" t="s">
        <v>306</v>
      </c>
      <c r="D23" s="21" t="n">
        <v>103</v>
      </c>
      <c r="E23" s="4" t="s">
        <v>271</v>
      </c>
      <c r="F23" s="22" t="n">
        <f aca="false">IF(E23="Por usuario",Supuestos!$B$7,IF(E23="Por canal",Supuestos!$B$8,1))</f>
        <v>1</v>
      </c>
      <c r="G23" s="23" t="n">
        <f aca="false">D23*F23</f>
        <v>103</v>
      </c>
      <c r="H23" s="24" t="s">
        <v>257</v>
      </c>
      <c r="I23" s="4" t="s">
        <v>307</v>
      </c>
      <c r="J23" s="24" t="s">
        <v>308</v>
      </c>
      <c r="K23" s="25" t="s">
        <v>260</v>
      </c>
    </row>
    <row r="24" customFormat="false" ht="15" hidden="false" customHeight="false" outlineLevel="0" collapsed="false">
      <c r="A24" s="4" t="s">
        <v>60</v>
      </c>
      <c r="B24" s="4" t="s">
        <v>309</v>
      </c>
      <c r="C24" s="4" t="s">
        <v>284</v>
      </c>
      <c r="D24" s="21" t="n">
        <v>14</v>
      </c>
      <c r="E24" s="4" t="s">
        <v>271</v>
      </c>
      <c r="F24" s="22" t="n">
        <f aca="false">IF(E24="Por usuario",Supuestos!$B$7,IF(E24="Por canal",Supuestos!$B$8,1))</f>
        <v>1</v>
      </c>
      <c r="G24" s="23" t="n">
        <f aca="false">D24*F24</f>
        <v>14</v>
      </c>
      <c r="H24" s="24" t="s">
        <v>257</v>
      </c>
      <c r="I24" s="4" t="s">
        <v>310</v>
      </c>
      <c r="J24" s="24" t="s">
        <v>311</v>
      </c>
      <c r="K24" s="25" t="s">
        <v>260</v>
      </c>
    </row>
    <row r="25" customFormat="false" ht="15" hidden="false" customHeight="false" outlineLevel="0" collapsed="false">
      <c r="A25" s="4" t="s">
        <v>69</v>
      </c>
      <c r="B25" s="4" t="s">
        <v>312</v>
      </c>
      <c r="C25" s="4" t="s">
        <v>313</v>
      </c>
      <c r="D25" s="21" t="n">
        <v>7</v>
      </c>
      <c r="E25" s="4" t="s">
        <v>36</v>
      </c>
      <c r="F25" s="22" t="n">
        <f aca="false">IF(E25="Por usuario",Supuestos!$B$7,IF(E25="Por canal",Supuestos!$B$8,1))</f>
        <v>10</v>
      </c>
      <c r="G25" s="23" t="n">
        <f aca="false">D25*F25</f>
        <v>70</v>
      </c>
      <c r="H25" s="24" t="s">
        <v>257</v>
      </c>
      <c r="I25" s="4" t="s">
        <v>314</v>
      </c>
      <c r="J25" s="24" t="s">
        <v>315</v>
      </c>
      <c r="K25" s="25" t="s">
        <v>260</v>
      </c>
    </row>
    <row r="26" customFormat="false" ht="15" hidden="false" customHeight="false" outlineLevel="0" collapsed="false">
      <c r="A26" s="4" t="s">
        <v>69</v>
      </c>
      <c r="B26" s="4" t="s">
        <v>312</v>
      </c>
      <c r="C26" s="4" t="s">
        <v>316</v>
      </c>
      <c r="D26" s="21" t="n">
        <v>14</v>
      </c>
      <c r="E26" s="4" t="s">
        <v>36</v>
      </c>
      <c r="F26" s="22" t="n">
        <f aca="false">IF(E26="Por usuario",Supuestos!$B$7,IF(E26="Por canal",Supuestos!$B$8,1))</f>
        <v>10</v>
      </c>
      <c r="G26" s="23" t="n">
        <f aca="false">D26*F26</f>
        <v>140</v>
      </c>
      <c r="H26" s="24" t="s">
        <v>257</v>
      </c>
      <c r="I26" s="4" t="s">
        <v>317</v>
      </c>
      <c r="J26" s="24" t="s">
        <v>315</v>
      </c>
      <c r="K26" s="25" t="s">
        <v>260</v>
      </c>
    </row>
    <row r="27" customFormat="false" ht="15" hidden="false" customHeight="false" outlineLevel="0" collapsed="false">
      <c r="A27" s="4" t="s">
        <v>69</v>
      </c>
      <c r="B27" s="4" t="s">
        <v>312</v>
      </c>
      <c r="C27" s="4" t="s">
        <v>318</v>
      </c>
      <c r="D27" s="21" t="n">
        <v>22</v>
      </c>
      <c r="E27" s="4" t="s">
        <v>36</v>
      </c>
      <c r="F27" s="22" t="n">
        <f aca="false">IF(E27="Por usuario",Supuestos!$B$7,IF(E27="Por canal",Supuestos!$B$8,1))</f>
        <v>10</v>
      </c>
      <c r="G27" s="23" t="n">
        <f aca="false">D27*F27</f>
        <v>220</v>
      </c>
      <c r="H27" s="24" t="s">
        <v>257</v>
      </c>
      <c r="I27" s="4" t="s">
        <v>319</v>
      </c>
      <c r="J27" s="24" t="s">
        <v>315</v>
      </c>
      <c r="K27" s="25" t="s">
        <v>260</v>
      </c>
    </row>
    <row r="28" customFormat="false" ht="15" hidden="false" customHeight="false" outlineLevel="0" collapsed="false">
      <c r="A28" s="4" t="s">
        <v>69</v>
      </c>
      <c r="B28" s="4" t="s">
        <v>320</v>
      </c>
      <c r="C28" s="4" t="s">
        <v>302</v>
      </c>
      <c r="D28" s="21" t="n">
        <v>15</v>
      </c>
      <c r="E28" s="4" t="s">
        <v>36</v>
      </c>
      <c r="F28" s="22" t="n">
        <f aca="false">IF(E28="Por usuario",Supuestos!$B$7,IF(E28="Por canal",Supuestos!$B$8,1))</f>
        <v>10</v>
      </c>
      <c r="G28" s="23" t="n">
        <f aca="false">D28*F28</f>
        <v>150</v>
      </c>
      <c r="H28" s="24" t="s">
        <v>257</v>
      </c>
      <c r="I28" s="4" t="s">
        <v>321</v>
      </c>
      <c r="J28" s="24" t="s">
        <v>322</v>
      </c>
      <c r="K28" s="25" t="s">
        <v>260</v>
      </c>
    </row>
    <row r="29" customFormat="false" ht="15" hidden="false" customHeight="false" outlineLevel="0" collapsed="false">
      <c r="A29" s="4" t="s">
        <v>69</v>
      </c>
      <c r="B29" s="4" t="s">
        <v>320</v>
      </c>
      <c r="C29" s="4" t="s">
        <v>298</v>
      </c>
      <c r="D29" s="21" t="n">
        <v>24</v>
      </c>
      <c r="E29" s="4" t="s">
        <v>36</v>
      </c>
      <c r="F29" s="22" t="n">
        <f aca="false">IF(E29="Por usuario",Supuestos!$B$7,IF(E29="Por canal",Supuestos!$B$8,1))</f>
        <v>10</v>
      </c>
      <c r="G29" s="23" t="n">
        <f aca="false">D29*F29</f>
        <v>240</v>
      </c>
      <c r="H29" s="24" t="s">
        <v>257</v>
      </c>
      <c r="I29" s="4" t="s">
        <v>323</v>
      </c>
      <c r="J29" s="24" t="s">
        <v>322</v>
      </c>
      <c r="K29" s="25" t="s">
        <v>260</v>
      </c>
    </row>
    <row r="30" customFormat="false" ht="15" hidden="false" customHeight="false" outlineLevel="0" collapsed="false">
      <c r="A30" s="4" t="s">
        <v>69</v>
      </c>
      <c r="B30" s="4" t="s">
        <v>324</v>
      </c>
      <c r="C30" s="4" t="s">
        <v>256</v>
      </c>
      <c r="D30" s="21" t="n">
        <v>22</v>
      </c>
      <c r="E30" s="4" t="s">
        <v>36</v>
      </c>
      <c r="F30" s="22" t="n">
        <f aca="false">IF(E30="Por usuario",Supuestos!$B$7,IF(E30="Por canal",Supuestos!$B$8,1))</f>
        <v>10</v>
      </c>
      <c r="G30" s="23" t="n">
        <f aca="false">D30*F30</f>
        <v>220</v>
      </c>
      <c r="H30" s="24" t="s">
        <v>257</v>
      </c>
      <c r="I30" s="4"/>
      <c r="J30" s="24" t="s">
        <v>325</v>
      </c>
      <c r="K30" s="25" t="s">
        <v>260</v>
      </c>
    </row>
    <row r="31" customFormat="false" ht="15" hidden="false" customHeight="false" outlineLevel="0" collapsed="false">
      <c r="A31" s="4" t="s">
        <v>69</v>
      </c>
      <c r="B31" s="4" t="s">
        <v>326</v>
      </c>
      <c r="C31" s="4" t="s">
        <v>256</v>
      </c>
      <c r="D31" s="21" t="n">
        <v>20</v>
      </c>
      <c r="E31" s="4" t="s">
        <v>36</v>
      </c>
      <c r="F31" s="22" t="n">
        <f aca="false">IF(E31="Por usuario",Supuestos!$B$7,IF(E31="Por canal",Supuestos!$B$8,1))</f>
        <v>10</v>
      </c>
      <c r="G31" s="23" t="n">
        <f aca="false">D31*F31</f>
        <v>200</v>
      </c>
      <c r="H31" s="24" t="s">
        <v>257</v>
      </c>
      <c r="I31" s="4" t="s">
        <v>327</v>
      </c>
      <c r="J31" s="24" t="s">
        <v>328</v>
      </c>
      <c r="K31" s="25" t="s">
        <v>260</v>
      </c>
    </row>
    <row r="32" customFormat="false" ht="15" hidden="false" customHeight="false" outlineLevel="0" collapsed="false">
      <c r="A32" s="4" t="s">
        <v>77</v>
      </c>
      <c r="B32" s="4" t="s">
        <v>329</v>
      </c>
      <c r="C32" s="4" t="s">
        <v>302</v>
      </c>
      <c r="D32" s="21" t="n">
        <v>5.42</v>
      </c>
      <c r="E32" s="4" t="s">
        <v>36</v>
      </c>
      <c r="F32" s="22" t="n">
        <f aca="false">IF(E32="Por usuario",Supuestos!$B$7,IF(E32="Por canal",Supuestos!$B$8,1))</f>
        <v>10</v>
      </c>
      <c r="G32" s="23" t="n">
        <f aca="false">D32*F32</f>
        <v>54.2</v>
      </c>
      <c r="H32" s="24" t="s">
        <v>257</v>
      </c>
      <c r="I32" s="4"/>
      <c r="J32" s="24" t="s">
        <v>330</v>
      </c>
      <c r="K32" s="25" t="s">
        <v>260</v>
      </c>
    </row>
    <row r="33" customFormat="false" ht="15" hidden="false" customHeight="false" outlineLevel="0" collapsed="false">
      <c r="A33" s="4" t="s">
        <v>77</v>
      </c>
      <c r="B33" s="4" t="s">
        <v>331</v>
      </c>
      <c r="C33" s="4" t="s">
        <v>332</v>
      </c>
      <c r="D33" s="21" t="n">
        <v>25</v>
      </c>
      <c r="E33" s="4" t="s">
        <v>36</v>
      </c>
      <c r="F33" s="22" t="n">
        <f aca="false">IF(E33="Por usuario",Supuestos!$B$7,IF(E33="Por canal",Supuestos!$B$8,1))</f>
        <v>10</v>
      </c>
      <c r="G33" s="23" t="n">
        <f aca="false">D33*F33</f>
        <v>250</v>
      </c>
      <c r="H33" s="24" t="s">
        <v>257</v>
      </c>
      <c r="I33" s="4" t="s">
        <v>333</v>
      </c>
      <c r="J33" s="24" t="s">
        <v>334</v>
      </c>
      <c r="K33" s="25" t="s">
        <v>260</v>
      </c>
    </row>
    <row r="34" customFormat="false" ht="15" hidden="false" customHeight="false" outlineLevel="0" collapsed="false">
      <c r="A34" s="4" t="s">
        <v>77</v>
      </c>
      <c r="B34" s="4" t="s">
        <v>335</v>
      </c>
      <c r="C34" s="4" t="s">
        <v>302</v>
      </c>
      <c r="D34" s="21" t="n">
        <v>8</v>
      </c>
      <c r="E34" s="4" t="s">
        <v>36</v>
      </c>
      <c r="F34" s="22" t="n">
        <f aca="false">IF(E34="Por usuario",Supuestos!$B$7,IF(E34="Por canal",Supuestos!$B$8,1))</f>
        <v>10</v>
      </c>
      <c r="G34" s="23" t="n">
        <f aca="false">D34*F34</f>
        <v>80</v>
      </c>
      <c r="H34" s="24" t="s">
        <v>257</v>
      </c>
      <c r="I34" s="4"/>
      <c r="J34" s="24" t="s">
        <v>336</v>
      </c>
      <c r="K34" s="25" t="s">
        <v>260</v>
      </c>
    </row>
    <row r="35" customFormat="false" ht="15" hidden="false" customHeight="false" outlineLevel="0" collapsed="false">
      <c r="A35" s="4" t="s">
        <v>77</v>
      </c>
      <c r="B35" s="4" t="s">
        <v>286</v>
      </c>
      <c r="C35" s="4" t="s">
        <v>256</v>
      </c>
      <c r="D35" s="21" t="n">
        <v>20</v>
      </c>
      <c r="E35" s="4" t="s">
        <v>36</v>
      </c>
      <c r="F35" s="22" t="n">
        <f aca="false">IF(E35="Por usuario",Supuestos!$B$7,IF(E35="Por canal",Supuestos!$B$8,1))</f>
        <v>10</v>
      </c>
      <c r="G35" s="23" t="n">
        <f aca="false">D35*F35</f>
        <v>200</v>
      </c>
      <c r="H35" s="24" t="s">
        <v>257</v>
      </c>
      <c r="I35" s="4" t="s">
        <v>337</v>
      </c>
      <c r="J35" s="24" t="s">
        <v>289</v>
      </c>
      <c r="K35" s="25" t="s">
        <v>260</v>
      </c>
    </row>
    <row r="36" customFormat="false" ht="15" hidden="false" customHeight="false" outlineLevel="0" collapsed="false">
      <c r="A36" s="4" t="s">
        <v>77</v>
      </c>
      <c r="B36" s="4" t="s">
        <v>338</v>
      </c>
      <c r="C36" s="4" t="s">
        <v>276</v>
      </c>
      <c r="D36" s="21" t="n">
        <v>199</v>
      </c>
      <c r="E36" s="4" t="s">
        <v>271</v>
      </c>
      <c r="F36" s="22" t="n">
        <f aca="false">IF(E36="Por usuario",Supuestos!$B$7,IF(E36="Por canal",Supuestos!$B$8,1))</f>
        <v>1</v>
      </c>
      <c r="G36" s="23" t="n">
        <f aca="false">D36*F36</f>
        <v>199</v>
      </c>
      <c r="H36" s="24" t="s">
        <v>257</v>
      </c>
      <c r="I36" s="4" t="s">
        <v>339</v>
      </c>
      <c r="J36" s="24" t="s">
        <v>330</v>
      </c>
      <c r="K36" s="25" t="s">
        <v>260</v>
      </c>
    </row>
    <row r="37" customFormat="false" ht="15" hidden="false" customHeight="false" outlineLevel="0" collapsed="false">
      <c r="A37" s="4" t="s">
        <v>86</v>
      </c>
      <c r="B37" s="4" t="s">
        <v>340</v>
      </c>
      <c r="C37" s="4" t="s">
        <v>284</v>
      </c>
      <c r="D37" s="21" t="n">
        <v>7.25</v>
      </c>
      <c r="E37" s="4" t="s">
        <v>36</v>
      </c>
      <c r="F37" s="22" t="n">
        <f aca="false">IF(E37="Por usuario",Supuestos!$B$7,IF(E37="Por canal",Supuestos!$B$8,1))</f>
        <v>10</v>
      </c>
      <c r="G37" s="23" t="n">
        <f aca="false">D37*F37</f>
        <v>72.5</v>
      </c>
      <c r="H37" s="24" t="s">
        <v>257</v>
      </c>
      <c r="I37" s="4" t="s">
        <v>291</v>
      </c>
      <c r="J37" s="24" t="s">
        <v>341</v>
      </c>
      <c r="K37" s="25" t="s">
        <v>260</v>
      </c>
    </row>
    <row r="38" customFormat="false" ht="15" hidden="false" customHeight="false" outlineLevel="0" collapsed="false">
      <c r="A38" s="4" t="s">
        <v>86</v>
      </c>
      <c r="B38" s="4" t="s">
        <v>340</v>
      </c>
      <c r="C38" s="4" t="s">
        <v>342</v>
      </c>
      <c r="D38" s="21" t="n">
        <v>12.5</v>
      </c>
      <c r="E38" s="4" t="s">
        <v>36</v>
      </c>
      <c r="F38" s="22" t="n">
        <f aca="false">IF(E38="Por usuario",Supuestos!$B$7,IF(E38="Por canal",Supuestos!$B$8,1))</f>
        <v>10</v>
      </c>
      <c r="G38" s="23" t="n">
        <f aca="false">D38*F38</f>
        <v>125</v>
      </c>
      <c r="H38" s="24" t="s">
        <v>257</v>
      </c>
      <c r="I38" s="4"/>
      <c r="J38" s="24" t="s">
        <v>341</v>
      </c>
      <c r="K38" s="25" t="s">
        <v>260</v>
      </c>
    </row>
    <row r="39" customFormat="false" ht="15" hidden="false" customHeight="false" outlineLevel="0" collapsed="false">
      <c r="A39" s="4" t="s">
        <v>86</v>
      </c>
      <c r="B39" s="4" t="s">
        <v>343</v>
      </c>
      <c r="C39" s="4" t="s">
        <v>306</v>
      </c>
      <c r="D39" s="21" t="n">
        <v>4</v>
      </c>
      <c r="E39" s="4" t="s">
        <v>36</v>
      </c>
      <c r="F39" s="22" t="n">
        <f aca="false">IF(E39="Por usuario",Supuestos!$B$7,IF(E39="Por canal",Supuestos!$B$8,1))</f>
        <v>10</v>
      </c>
      <c r="G39" s="23" t="n">
        <f aca="false">D39*F39</f>
        <v>40</v>
      </c>
      <c r="H39" s="24" t="s">
        <v>257</v>
      </c>
      <c r="I39" s="4" t="s">
        <v>344</v>
      </c>
      <c r="J39" s="24" t="s">
        <v>345</v>
      </c>
      <c r="K39" s="25" t="s">
        <v>260</v>
      </c>
    </row>
    <row r="40" customFormat="false" ht="15" hidden="false" customHeight="false" outlineLevel="0" collapsed="false">
      <c r="A40" s="4" t="s">
        <v>86</v>
      </c>
      <c r="B40" s="4" t="s">
        <v>346</v>
      </c>
      <c r="C40" s="4" t="s">
        <v>347</v>
      </c>
      <c r="D40" s="21" t="n">
        <v>6</v>
      </c>
      <c r="E40" s="4" t="s">
        <v>36</v>
      </c>
      <c r="F40" s="22" t="n">
        <f aca="false">IF(E40="Por usuario",Supuestos!$B$7,IF(E40="Por canal",Supuestos!$B$8,1))</f>
        <v>10</v>
      </c>
      <c r="G40" s="23" t="n">
        <f aca="false">D40*F40</f>
        <v>60</v>
      </c>
      <c r="H40" s="24" t="s">
        <v>257</v>
      </c>
      <c r="I40" s="4" t="s">
        <v>348</v>
      </c>
      <c r="J40" s="24" t="s">
        <v>345</v>
      </c>
      <c r="K40" s="25" t="s">
        <v>260</v>
      </c>
    </row>
    <row r="41" customFormat="false" ht="15" hidden="false" customHeight="false" outlineLevel="0" collapsed="false">
      <c r="A41" s="4" t="s">
        <v>86</v>
      </c>
      <c r="B41" s="4" t="s">
        <v>346</v>
      </c>
      <c r="C41" s="4" t="s">
        <v>316</v>
      </c>
      <c r="D41" s="21" t="n">
        <v>12.5</v>
      </c>
      <c r="E41" s="4" t="s">
        <v>36</v>
      </c>
      <c r="F41" s="22" t="n">
        <f aca="false">IF(E41="Por usuario",Supuestos!$B$7,IF(E41="Por canal",Supuestos!$B$8,1))</f>
        <v>10</v>
      </c>
      <c r="G41" s="23" t="n">
        <f aca="false">D41*F41</f>
        <v>125</v>
      </c>
      <c r="H41" s="24" t="s">
        <v>257</v>
      </c>
      <c r="I41" s="4" t="s">
        <v>349</v>
      </c>
      <c r="J41" s="24" t="s">
        <v>345</v>
      </c>
      <c r="K41" s="25" t="s">
        <v>260</v>
      </c>
    </row>
    <row r="42" customFormat="false" ht="15" hidden="false" customHeight="false" outlineLevel="0" collapsed="false">
      <c r="A42" s="4" t="s">
        <v>93</v>
      </c>
      <c r="B42" s="4" t="s">
        <v>350</v>
      </c>
      <c r="C42" s="4" t="s">
        <v>302</v>
      </c>
      <c r="D42" s="21" t="n">
        <v>5</v>
      </c>
      <c r="E42" s="4" t="s">
        <v>36</v>
      </c>
      <c r="F42" s="22" t="n">
        <f aca="false">IF(E42="Por usuario",Supuestos!$B$7,IF(E42="Por canal",Supuestos!$B$8,1))</f>
        <v>10</v>
      </c>
      <c r="G42" s="23" t="n">
        <f aca="false">D42*F42</f>
        <v>50</v>
      </c>
      <c r="H42" s="24" t="s">
        <v>257</v>
      </c>
      <c r="I42" s="4" t="s">
        <v>291</v>
      </c>
      <c r="J42" s="24" t="s">
        <v>351</v>
      </c>
      <c r="K42" s="25" t="s">
        <v>260</v>
      </c>
    </row>
    <row r="43" customFormat="false" ht="15" hidden="false" customHeight="false" outlineLevel="0" collapsed="false">
      <c r="A43" s="4" t="s">
        <v>93</v>
      </c>
      <c r="B43" s="4" t="s">
        <v>350</v>
      </c>
      <c r="C43" s="4" t="s">
        <v>352</v>
      </c>
      <c r="D43" s="21" t="n">
        <v>10</v>
      </c>
      <c r="E43" s="4" t="s">
        <v>36</v>
      </c>
      <c r="F43" s="22" t="n">
        <f aca="false">IF(E43="Por usuario",Supuestos!$B$7,IF(E43="Por canal",Supuestos!$B$8,1))</f>
        <v>10</v>
      </c>
      <c r="G43" s="23" t="n">
        <f aca="false">D43*F43</f>
        <v>100</v>
      </c>
      <c r="H43" s="24" t="s">
        <v>257</v>
      </c>
      <c r="I43" s="4" t="s">
        <v>291</v>
      </c>
      <c r="J43" s="24" t="s">
        <v>351</v>
      </c>
      <c r="K43" s="25" t="s">
        <v>260</v>
      </c>
    </row>
    <row r="44" customFormat="false" ht="15" hidden="false" customHeight="false" outlineLevel="0" collapsed="false">
      <c r="A44" s="4" t="s">
        <v>93</v>
      </c>
      <c r="B44" s="4" t="s">
        <v>350</v>
      </c>
      <c r="C44" s="4" t="s">
        <v>353</v>
      </c>
      <c r="D44" s="21" t="n">
        <v>17.5</v>
      </c>
      <c r="E44" s="4" t="s">
        <v>36</v>
      </c>
      <c r="F44" s="22" t="n">
        <f aca="false">IF(E44="Por usuario",Supuestos!$B$7,IF(E44="Por canal",Supuestos!$B$8,1))</f>
        <v>10</v>
      </c>
      <c r="G44" s="23" t="n">
        <f aca="false">D44*F44</f>
        <v>175</v>
      </c>
      <c r="H44" s="24" t="s">
        <v>257</v>
      </c>
      <c r="I44" s="4" t="s">
        <v>354</v>
      </c>
      <c r="J44" s="24" t="s">
        <v>351</v>
      </c>
      <c r="K44" s="25" t="s">
        <v>260</v>
      </c>
    </row>
    <row r="45" customFormat="false" ht="15" hidden="false" customHeight="false" outlineLevel="0" collapsed="false">
      <c r="A45" s="4" t="s">
        <v>93</v>
      </c>
      <c r="B45" s="4" t="s">
        <v>355</v>
      </c>
      <c r="C45" s="4" t="s">
        <v>356</v>
      </c>
      <c r="D45" s="21" t="n">
        <v>7</v>
      </c>
      <c r="E45" s="4" t="s">
        <v>36</v>
      </c>
      <c r="F45" s="22" t="n">
        <f aca="false">IF(E45="Por usuario",Supuestos!$B$7,IF(E45="Por canal",Supuestos!$B$8,1))</f>
        <v>10</v>
      </c>
      <c r="G45" s="23" t="n">
        <f aca="false">D45*F45</f>
        <v>70</v>
      </c>
      <c r="H45" s="24" t="s">
        <v>257</v>
      </c>
      <c r="I45" s="4"/>
      <c r="J45" s="24" t="s">
        <v>357</v>
      </c>
      <c r="K45" s="25" t="s">
        <v>260</v>
      </c>
    </row>
    <row r="46" customFormat="false" ht="15" hidden="false" customHeight="false" outlineLevel="0" collapsed="false">
      <c r="A46" s="4" t="s">
        <v>93</v>
      </c>
      <c r="B46" s="4" t="s">
        <v>355</v>
      </c>
      <c r="C46" s="4" t="s">
        <v>256</v>
      </c>
      <c r="D46" s="21" t="n">
        <v>12</v>
      </c>
      <c r="E46" s="4" t="s">
        <v>36</v>
      </c>
      <c r="F46" s="22" t="n">
        <f aca="false">IF(E46="Por usuario",Supuestos!$B$7,IF(E46="Por canal",Supuestos!$B$8,1))</f>
        <v>10</v>
      </c>
      <c r="G46" s="23" t="n">
        <f aca="false">D46*F46</f>
        <v>120</v>
      </c>
      <c r="H46" s="24" t="s">
        <v>257</v>
      </c>
      <c r="I46" s="4"/>
      <c r="J46" s="24" t="s">
        <v>357</v>
      </c>
      <c r="K46" s="25" t="s">
        <v>260</v>
      </c>
    </row>
    <row r="47" customFormat="false" ht="15" hidden="false" customHeight="false" outlineLevel="0" collapsed="false">
      <c r="A47" s="4" t="s">
        <v>93</v>
      </c>
      <c r="B47" s="4" t="s">
        <v>355</v>
      </c>
      <c r="C47" s="4" t="s">
        <v>318</v>
      </c>
      <c r="D47" s="21" t="n">
        <v>19</v>
      </c>
      <c r="E47" s="4" t="s">
        <v>36</v>
      </c>
      <c r="F47" s="22" t="n">
        <f aca="false">IF(E47="Por usuario",Supuestos!$B$7,IF(E47="Por canal",Supuestos!$B$8,1))</f>
        <v>10</v>
      </c>
      <c r="G47" s="23" t="n">
        <f aca="false">D47*F47</f>
        <v>190</v>
      </c>
      <c r="H47" s="24" t="s">
        <v>257</v>
      </c>
      <c r="I47" s="4"/>
      <c r="J47" s="24" t="s">
        <v>357</v>
      </c>
      <c r="K47" s="25" t="s">
        <v>260</v>
      </c>
    </row>
    <row r="48" customFormat="false" ht="15" hidden="false" customHeight="false" outlineLevel="0" collapsed="false">
      <c r="A48" s="4" t="s">
        <v>93</v>
      </c>
      <c r="B48" s="4" t="s">
        <v>358</v>
      </c>
      <c r="C48" s="4" t="s">
        <v>359</v>
      </c>
      <c r="D48" s="21" t="n">
        <v>9</v>
      </c>
      <c r="E48" s="4" t="s">
        <v>36</v>
      </c>
      <c r="F48" s="22" t="n">
        <f aca="false">IF(E48="Por usuario",Supuestos!$B$7,IF(E48="Por canal",Supuestos!$B$8,1))</f>
        <v>10</v>
      </c>
      <c r="G48" s="23" t="n">
        <f aca="false">D48*F48</f>
        <v>90</v>
      </c>
      <c r="H48" s="24" t="s">
        <v>257</v>
      </c>
      <c r="I48" s="4" t="s">
        <v>360</v>
      </c>
      <c r="J48" s="24" t="s">
        <v>361</v>
      </c>
      <c r="K48" s="25" t="s">
        <v>260</v>
      </c>
    </row>
    <row r="49" customFormat="false" ht="15" hidden="false" customHeight="false" outlineLevel="0" collapsed="false">
      <c r="A49" s="4" t="s">
        <v>93</v>
      </c>
      <c r="B49" s="4" t="s">
        <v>362</v>
      </c>
      <c r="C49" s="4" t="s">
        <v>270</v>
      </c>
      <c r="D49" s="21" t="n">
        <v>13.49</v>
      </c>
      <c r="E49" s="4" t="s">
        <v>36</v>
      </c>
      <c r="F49" s="22" t="n">
        <f aca="false">IF(E49="Por usuario",Supuestos!$B$7,IF(E49="Por canal",Supuestos!$B$8,1))</f>
        <v>10</v>
      </c>
      <c r="G49" s="23" t="n">
        <f aca="false">D49*F49</f>
        <v>134.9</v>
      </c>
      <c r="H49" s="24" t="s">
        <v>257</v>
      </c>
      <c r="I49" s="4"/>
      <c r="J49" s="24" t="s">
        <v>361</v>
      </c>
      <c r="K49" s="25" t="s">
        <v>260</v>
      </c>
    </row>
    <row r="50" customFormat="false" ht="15" hidden="false" customHeight="false" outlineLevel="0" collapsed="false">
      <c r="A50" s="4" t="s">
        <v>93</v>
      </c>
      <c r="B50" s="4" t="s">
        <v>362</v>
      </c>
      <c r="C50" s="4" t="s">
        <v>298</v>
      </c>
      <c r="D50" s="21" t="n">
        <v>24.99</v>
      </c>
      <c r="E50" s="4" t="s">
        <v>36</v>
      </c>
      <c r="F50" s="22" t="n">
        <f aca="false">IF(E50="Por usuario",Supuestos!$B$7,IF(E50="Por canal",Supuestos!$B$8,1))</f>
        <v>10</v>
      </c>
      <c r="G50" s="23" t="n">
        <f aca="false">D50*F50</f>
        <v>249.9</v>
      </c>
      <c r="H50" s="24" t="s">
        <v>257</v>
      </c>
      <c r="I50" s="4" t="s">
        <v>363</v>
      </c>
      <c r="J50" s="24" t="s">
        <v>364</v>
      </c>
      <c r="K50" s="25" t="s">
        <v>260</v>
      </c>
    </row>
    <row r="51" customFormat="false" ht="15" hidden="false" customHeight="false" outlineLevel="0" collapsed="false">
      <c r="A51" s="4" t="s">
        <v>101</v>
      </c>
      <c r="B51" s="4" t="s">
        <v>365</v>
      </c>
      <c r="C51" s="4" t="s">
        <v>284</v>
      </c>
      <c r="D51" s="21" t="n">
        <v>9</v>
      </c>
      <c r="E51" s="4" t="s">
        <v>36</v>
      </c>
      <c r="F51" s="22" t="n">
        <f aca="false">IF(E51="Por usuario",Supuestos!$B$7,IF(E51="Por canal",Supuestos!$B$8,1))</f>
        <v>10</v>
      </c>
      <c r="G51" s="23" t="n">
        <f aca="false">D51*F51</f>
        <v>90</v>
      </c>
      <c r="H51" s="24" t="s">
        <v>257</v>
      </c>
      <c r="I51" s="4" t="s">
        <v>291</v>
      </c>
      <c r="J51" s="24" t="s">
        <v>366</v>
      </c>
      <c r="K51" s="25" t="s">
        <v>260</v>
      </c>
    </row>
    <row r="52" customFormat="false" ht="15" hidden="false" customHeight="false" outlineLevel="0" collapsed="false">
      <c r="A52" s="4" t="s">
        <v>101</v>
      </c>
      <c r="B52" s="4" t="s">
        <v>365</v>
      </c>
      <c r="C52" s="4" t="s">
        <v>256</v>
      </c>
      <c r="D52" s="21" t="n">
        <v>19</v>
      </c>
      <c r="E52" s="4" t="s">
        <v>36</v>
      </c>
      <c r="F52" s="22" t="n">
        <f aca="false">IF(E52="Por usuario",Supuestos!$B$7,IF(E52="Por canal",Supuestos!$B$8,1))</f>
        <v>10</v>
      </c>
      <c r="G52" s="23" t="n">
        <f aca="false">D52*F52</f>
        <v>190</v>
      </c>
      <c r="H52" s="24" t="s">
        <v>257</v>
      </c>
      <c r="I52" s="4"/>
      <c r="J52" s="24" t="s">
        <v>366</v>
      </c>
      <c r="K52" s="25" t="s">
        <v>260</v>
      </c>
    </row>
    <row r="53" customFormat="false" ht="15" hidden="false" customHeight="false" outlineLevel="0" collapsed="false">
      <c r="A53" s="4" t="s">
        <v>101</v>
      </c>
      <c r="B53" s="4" t="s">
        <v>367</v>
      </c>
      <c r="C53" s="4" t="s">
        <v>262</v>
      </c>
      <c r="D53" s="21" t="n">
        <v>10</v>
      </c>
      <c r="E53" s="4" t="s">
        <v>36</v>
      </c>
      <c r="F53" s="22" t="n">
        <f aca="false">IF(E53="Por usuario",Supuestos!$B$7,IF(E53="Por canal",Supuestos!$B$8,1))</f>
        <v>10</v>
      </c>
      <c r="G53" s="23" t="n">
        <f aca="false">D53*F53</f>
        <v>100</v>
      </c>
      <c r="H53" s="24" t="s">
        <v>257</v>
      </c>
      <c r="I53" s="4" t="s">
        <v>368</v>
      </c>
      <c r="J53" s="24" t="s">
        <v>369</v>
      </c>
      <c r="K53" s="25" t="s">
        <v>260</v>
      </c>
    </row>
    <row r="54" customFormat="false" ht="15" hidden="false" customHeight="false" outlineLevel="0" collapsed="false">
      <c r="A54" s="4" t="s">
        <v>101</v>
      </c>
      <c r="B54" s="4" t="s">
        <v>367</v>
      </c>
      <c r="C54" s="4" t="s">
        <v>256</v>
      </c>
      <c r="D54" s="21" t="n">
        <v>25</v>
      </c>
      <c r="E54" s="4" t="s">
        <v>36</v>
      </c>
      <c r="F54" s="22" t="n">
        <f aca="false">IF(E54="Por usuario",Supuestos!$B$7,IF(E54="Por canal",Supuestos!$B$8,1))</f>
        <v>10</v>
      </c>
      <c r="G54" s="23" t="n">
        <f aca="false">D54*F54</f>
        <v>250</v>
      </c>
      <c r="H54" s="24" t="s">
        <v>257</v>
      </c>
      <c r="I54" s="4" t="s">
        <v>264</v>
      </c>
      <c r="J54" s="24" t="s">
        <v>369</v>
      </c>
      <c r="K54" s="25" t="s">
        <v>260</v>
      </c>
    </row>
    <row r="55" customFormat="false" ht="15" hidden="false" customHeight="false" outlineLevel="0" collapsed="false">
      <c r="A55" s="4" t="s">
        <v>101</v>
      </c>
      <c r="B55" s="4" t="s">
        <v>370</v>
      </c>
      <c r="C55" s="4" t="s">
        <v>371</v>
      </c>
      <c r="D55" s="21" t="n">
        <v>10</v>
      </c>
      <c r="E55" s="4" t="s">
        <v>36</v>
      </c>
      <c r="F55" s="22" t="n">
        <f aca="false">IF(E55="Por usuario",Supuestos!$B$7,IF(E55="Por canal",Supuestos!$B$8,1))</f>
        <v>10</v>
      </c>
      <c r="G55" s="23" t="n">
        <f aca="false">D55*F55</f>
        <v>100</v>
      </c>
      <c r="H55" s="24" t="s">
        <v>257</v>
      </c>
      <c r="I55" s="4"/>
      <c r="J55" s="24" t="s">
        <v>372</v>
      </c>
      <c r="K55" s="25" t="s">
        <v>260</v>
      </c>
    </row>
    <row r="56" customFormat="false" ht="15" hidden="false" customHeight="false" outlineLevel="0" collapsed="false">
      <c r="A56" s="4" t="s">
        <v>101</v>
      </c>
      <c r="B56" s="4" t="s">
        <v>370</v>
      </c>
      <c r="C56" s="4" t="s">
        <v>373</v>
      </c>
      <c r="D56" s="21" t="n">
        <v>30</v>
      </c>
      <c r="E56" s="4" t="s">
        <v>36</v>
      </c>
      <c r="F56" s="22" t="n">
        <f aca="false">IF(E56="Por usuario",Supuestos!$B$7,IF(E56="Por canal",Supuestos!$B$8,1))</f>
        <v>10</v>
      </c>
      <c r="G56" s="23" t="n">
        <f aca="false">D56*F56</f>
        <v>300</v>
      </c>
      <c r="H56" s="24" t="s">
        <v>257</v>
      </c>
      <c r="I56" s="4" t="s">
        <v>374</v>
      </c>
      <c r="J56" s="24" t="s">
        <v>372</v>
      </c>
      <c r="K56" s="25" t="s">
        <v>260</v>
      </c>
    </row>
    <row r="57" customFormat="false" ht="15" hidden="false" customHeight="false" outlineLevel="0" collapsed="false">
      <c r="A57" s="4" t="s">
        <v>101</v>
      </c>
      <c r="B57" s="4" t="s">
        <v>375</v>
      </c>
      <c r="C57" s="4" t="s">
        <v>262</v>
      </c>
      <c r="D57" s="21" t="n">
        <v>20</v>
      </c>
      <c r="E57" s="4" t="s">
        <v>271</v>
      </c>
      <c r="F57" s="22" t="n">
        <f aca="false">IF(E57="Por usuario",Supuestos!$B$7,IF(E57="Por canal",Supuestos!$B$8,1))</f>
        <v>1</v>
      </c>
      <c r="G57" s="23" t="n">
        <f aca="false">D57*F57</f>
        <v>20</v>
      </c>
      <c r="H57" s="24" t="s">
        <v>257</v>
      </c>
      <c r="I57" s="4" t="s">
        <v>376</v>
      </c>
      <c r="J57" s="24" t="s">
        <v>377</v>
      </c>
      <c r="K57" s="25" t="s">
        <v>260</v>
      </c>
    </row>
    <row r="58" customFormat="false" ht="15" hidden="false" customHeight="false" outlineLevel="0" collapsed="false">
      <c r="A58" s="4" t="s">
        <v>101</v>
      </c>
      <c r="B58" s="4" t="s">
        <v>378</v>
      </c>
      <c r="C58" s="4" t="s">
        <v>379</v>
      </c>
      <c r="D58" s="21" t="n">
        <v>19</v>
      </c>
      <c r="E58" s="4" t="s">
        <v>271</v>
      </c>
      <c r="F58" s="22" t="n">
        <f aca="false">IF(E58="Por usuario",Supuestos!$B$7,IF(E58="Por canal",Supuestos!$B$8,1))</f>
        <v>1</v>
      </c>
      <c r="G58" s="23" t="n">
        <f aca="false">D58*F58</f>
        <v>19</v>
      </c>
      <c r="H58" s="24" t="s">
        <v>257</v>
      </c>
      <c r="I58" s="4"/>
      <c r="J58" s="24" t="s">
        <v>380</v>
      </c>
      <c r="K58" s="25" t="s">
        <v>260</v>
      </c>
    </row>
    <row r="59" customFormat="false" ht="15" hidden="false" customHeight="false" outlineLevel="0" collapsed="false">
      <c r="A59" s="4" t="s">
        <v>110</v>
      </c>
      <c r="B59" s="4" t="s">
        <v>286</v>
      </c>
      <c r="C59" s="4" t="s">
        <v>281</v>
      </c>
      <c r="D59" s="21" t="n">
        <v>10</v>
      </c>
      <c r="E59" s="4" t="s">
        <v>36</v>
      </c>
      <c r="F59" s="22" t="n">
        <f aca="false">IF(E59="Por usuario",Supuestos!$B$7,IF(E59="Por canal",Supuestos!$B$8,1))</f>
        <v>10</v>
      </c>
      <c r="G59" s="23" t="n">
        <f aca="false">D59*F59</f>
        <v>100</v>
      </c>
      <c r="H59" s="24" t="s">
        <v>257</v>
      </c>
      <c r="I59" s="4"/>
      <c r="J59" s="24" t="s">
        <v>289</v>
      </c>
      <c r="K59" s="25" t="s">
        <v>260</v>
      </c>
    </row>
    <row r="60" customFormat="false" ht="15" hidden="false" customHeight="false" outlineLevel="0" collapsed="false">
      <c r="A60" s="4" t="s">
        <v>110</v>
      </c>
      <c r="B60" s="4" t="s">
        <v>286</v>
      </c>
      <c r="C60" s="4" t="s">
        <v>256</v>
      </c>
      <c r="D60" s="21" t="n">
        <v>20</v>
      </c>
      <c r="E60" s="4" t="s">
        <v>36</v>
      </c>
      <c r="F60" s="22" t="n">
        <f aca="false">IF(E60="Por usuario",Supuestos!$B$7,IF(E60="Por canal",Supuestos!$B$8,1))</f>
        <v>10</v>
      </c>
      <c r="G60" s="23" t="n">
        <f aca="false">D60*F60</f>
        <v>200</v>
      </c>
      <c r="H60" s="24" t="s">
        <v>257</v>
      </c>
      <c r="I60" s="4"/>
      <c r="J60" s="24" t="s">
        <v>289</v>
      </c>
      <c r="K60" s="25" t="s">
        <v>260</v>
      </c>
    </row>
    <row r="61" customFormat="false" ht="15" hidden="false" customHeight="false" outlineLevel="0" collapsed="false">
      <c r="A61" s="4" t="s">
        <v>110</v>
      </c>
      <c r="B61" s="4" t="s">
        <v>381</v>
      </c>
      <c r="C61" s="4" t="s">
        <v>284</v>
      </c>
      <c r="D61" s="21" t="n">
        <v>12</v>
      </c>
      <c r="E61" s="4" t="s">
        <v>36</v>
      </c>
      <c r="F61" s="22" t="n">
        <f aca="false">IF(E61="Por usuario",Supuestos!$B$7,IF(E61="Por canal",Supuestos!$B$8,1))</f>
        <v>10</v>
      </c>
      <c r="G61" s="23" t="n">
        <f aca="false">D61*F61</f>
        <v>120</v>
      </c>
      <c r="H61" s="24" t="s">
        <v>257</v>
      </c>
      <c r="I61" s="4" t="s">
        <v>382</v>
      </c>
      <c r="J61" s="24" t="s">
        <v>383</v>
      </c>
      <c r="K61" s="25" t="s">
        <v>260</v>
      </c>
    </row>
    <row r="62" customFormat="false" ht="15" hidden="false" customHeight="false" outlineLevel="0" collapsed="false">
      <c r="A62" s="4" t="s">
        <v>110</v>
      </c>
      <c r="B62" s="4" t="s">
        <v>381</v>
      </c>
      <c r="C62" s="4" t="s">
        <v>262</v>
      </c>
      <c r="D62" s="21" t="n">
        <v>36</v>
      </c>
      <c r="E62" s="4" t="s">
        <v>36</v>
      </c>
      <c r="F62" s="22" t="n">
        <f aca="false">IF(E62="Por usuario",Supuestos!$B$7,IF(E62="Por canal",Supuestos!$B$8,1))</f>
        <v>10</v>
      </c>
      <c r="G62" s="23" t="n">
        <f aca="false">D62*F62</f>
        <v>360</v>
      </c>
      <c r="H62" s="24" t="s">
        <v>257</v>
      </c>
      <c r="I62" s="4"/>
      <c r="J62" s="24" t="s">
        <v>383</v>
      </c>
      <c r="K62" s="25" t="s">
        <v>260</v>
      </c>
    </row>
    <row r="63" customFormat="false" ht="15" hidden="false" customHeight="false" outlineLevel="0" collapsed="false">
      <c r="A63" s="4" t="s">
        <v>110</v>
      </c>
      <c r="B63" s="4" t="s">
        <v>335</v>
      </c>
      <c r="C63" s="4" t="s">
        <v>302</v>
      </c>
      <c r="D63" s="21" t="n">
        <v>8</v>
      </c>
      <c r="E63" s="4" t="s">
        <v>36</v>
      </c>
      <c r="F63" s="22" t="n">
        <f aca="false">IF(E63="Por usuario",Supuestos!$B$7,IF(E63="Por canal",Supuestos!$B$8,1))</f>
        <v>10</v>
      </c>
      <c r="G63" s="23" t="n">
        <f aca="false">D63*F63</f>
        <v>80</v>
      </c>
      <c r="H63" s="24" t="s">
        <v>257</v>
      </c>
      <c r="I63" s="4"/>
      <c r="J63" s="24" t="s">
        <v>336</v>
      </c>
      <c r="K63" s="25" t="s">
        <v>260</v>
      </c>
    </row>
    <row r="64" customFormat="false" ht="15" hidden="false" customHeight="false" outlineLevel="0" collapsed="false">
      <c r="A64" s="4" t="s">
        <v>117</v>
      </c>
      <c r="B64" s="4" t="s">
        <v>384</v>
      </c>
      <c r="C64" s="4" t="s">
        <v>262</v>
      </c>
      <c r="D64" s="21" t="n">
        <v>10</v>
      </c>
      <c r="E64" s="4" t="s">
        <v>36</v>
      </c>
      <c r="F64" s="22" t="n">
        <f aca="false">IF(E64="Por usuario",Supuestos!$B$7,IF(E64="Por canal",Supuestos!$B$8,1))</f>
        <v>10</v>
      </c>
      <c r="G64" s="23" t="n">
        <f aca="false">D64*F64</f>
        <v>100</v>
      </c>
      <c r="H64" s="24" t="s">
        <v>257</v>
      </c>
      <c r="I64" s="4" t="s">
        <v>385</v>
      </c>
      <c r="J64" s="24" t="s">
        <v>386</v>
      </c>
      <c r="K64" s="25" t="s">
        <v>260</v>
      </c>
    </row>
    <row r="65" customFormat="false" ht="15" hidden="false" customHeight="false" outlineLevel="0" collapsed="false">
      <c r="A65" s="4" t="s">
        <v>117</v>
      </c>
      <c r="B65" s="4" t="s">
        <v>384</v>
      </c>
      <c r="C65" s="4" t="s">
        <v>256</v>
      </c>
      <c r="D65" s="21" t="n">
        <v>50</v>
      </c>
      <c r="E65" s="4" t="s">
        <v>36</v>
      </c>
      <c r="F65" s="22" t="n">
        <f aca="false">IF(E65="Por usuario",Supuestos!$B$7,IF(E65="Por canal",Supuestos!$B$8,1))</f>
        <v>10</v>
      </c>
      <c r="G65" s="23" t="n">
        <f aca="false">D65*F65</f>
        <v>500</v>
      </c>
      <c r="H65" s="24" t="s">
        <v>257</v>
      </c>
      <c r="I65" s="4" t="s">
        <v>387</v>
      </c>
      <c r="J65" s="24" t="s">
        <v>386</v>
      </c>
      <c r="K65" s="25" t="s">
        <v>260</v>
      </c>
    </row>
    <row r="66" customFormat="false" ht="15" hidden="false" customHeight="false" outlineLevel="0" collapsed="false">
      <c r="A66" s="4" t="s">
        <v>117</v>
      </c>
      <c r="B66" s="4" t="s">
        <v>388</v>
      </c>
      <c r="C66" s="4" t="s">
        <v>284</v>
      </c>
      <c r="D66" s="21" t="n">
        <v>14</v>
      </c>
      <c r="E66" s="4" t="s">
        <v>36</v>
      </c>
      <c r="F66" s="22" t="n">
        <f aca="false">IF(E66="Por usuario",Supuestos!$B$7,IF(E66="Por canal",Supuestos!$B$8,1))</f>
        <v>10</v>
      </c>
      <c r="G66" s="23" t="n">
        <f aca="false">D66*F66</f>
        <v>140</v>
      </c>
      <c r="H66" s="24" t="s">
        <v>257</v>
      </c>
      <c r="I66" s="4"/>
      <c r="J66" s="24" t="s">
        <v>389</v>
      </c>
      <c r="K66" s="25" t="s">
        <v>260</v>
      </c>
    </row>
    <row r="67" customFormat="false" ht="15" hidden="false" customHeight="false" outlineLevel="0" collapsed="false">
      <c r="A67" s="4" t="s">
        <v>117</v>
      </c>
      <c r="B67" s="4" t="s">
        <v>388</v>
      </c>
      <c r="C67" s="4" t="s">
        <v>390</v>
      </c>
      <c r="D67" s="21" t="n">
        <v>24</v>
      </c>
      <c r="E67" s="4" t="s">
        <v>36</v>
      </c>
      <c r="F67" s="22" t="n">
        <f aca="false">IF(E67="Por usuario",Supuestos!$B$7,IF(E67="Por canal",Supuestos!$B$8,1))</f>
        <v>10</v>
      </c>
      <c r="G67" s="23" t="n">
        <f aca="false">D67*F67</f>
        <v>240</v>
      </c>
      <c r="H67" s="24" t="s">
        <v>257</v>
      </c>
      <c r="I67" s="4"/>
      <c r="J67" s="24" t="s">
        <v>389</v>
      </c>
      <c r="K67" s="25" t="s">
        <v>260</v>
      </c>
    </row>
    <row r="68" customFormat="false" ht="15" hidden="false" customHeight="false" outlineLevel="0" collapsed="false">
      <c r="A68" s="4" t="s">
        <v>117</v>
      </c>
      <c r="B68" s="4" t="s">
        <v>391</v>
      </c>
      <c r="C68" s="4" t="s">
        <v>392</v>
      </c>
      <c r="D68" s="21" t="n">
        <v>15</v>
      </c>
      <c r="E68" s="4" t="s">
        <v>36</v>
      </c>
      <c r="F68" s="22" t="n">
        <f aca="false">IF(E68="Por usuario",Supuestos!$B$7,IF(E68="Por canal",Supuestos!$B$8,1))</f>
        <v>10</v>
      </c>
      <c r="G68" s="23" t="n">
        <f aca="false">D68*F68</f>
        <v>150</v>
      </c>
      <c r="H68" s="24" t="s">
        <v>257</v>
      </c>
      <c r="I68" s="4"/>
      <c r="J68" s="24" t="s">
        <v>393</v>
      </c>
      <c r="K68" s="25" t="s">
        <v>260</v>
      </c>
    </row>
    <row r="69" customFormat="false" ht="15" hidden="false" customHeight="false" outlineLevel="0" collapsed="false">
      <c r="A69" s="4" t="s">
        <v>117</v>
      </c>
      <c r="B69" s="4" t="s">
        <v>391</v>
      </c>
      <c r="C69" s="4" t="s">
        <v>394</v>
      </c>
      <c r="D69" s="21" t="n">
        <v>75</v>
      </c>
      <c r="E69" s="4" t="s">
        <v>36</v>
      </c>
      <c r="F69" s="22" t="n">
        <f aca="false">IF(E69="Por usuario",Supuestos!$B$7,IF(E69="Por canal",Supuestos!$B$8,1))</f>
        <v>10</v>
      </c>
      <c r="G69" s="23" t="n">
        <f aca="false">D69*F69</f>
        <v>750</v>
      </c>
      <c r="H69" s="24" t="s">
        <v>257</v>
      </c>
      <c r="I69" s="4"/>
      <c r="J69" s="24" t="s">
        <v>393</v>
      </c>
      <c r="K69" s="25" t="s">
        <v>260</v>
      </c>
    </row>
    <row r="70" customFormat="false" ht="15" hidden="false" customHeight="false" outlineLevel="0" collapsed="false">
      <c r="A70" s="4" t="s">
        <v>117</v>
      </c>
      <c r="B70" s="4" t="s">
        <v>395</v>
      </c>
      <c r="C70" s="4" t="s">
        <v>295</v>
      </c>
      <c r="D70" s="21" t="n">
        <v>29</v>
      </c>
      <c r="E70" s="4" t="s">
        <v>36</v>
      </c>
      <c r="F70" s="22" t="n">
        <f aca="false">IF(E70="Por usuario",Supuestos!$B$7,IF(E70="Por canal",Supuestos!$B$8,1))</f>
        <v>10</v>
      </c>
      <c r="G70" s="23" t="n">
        <f aca="false">D70*F70</f>
        <v>290</v>
      </c>
      <c r="H70" s="24" t="s">
        <v>257</v>
      </c>
      <c r="I70" s="4"/>
      <c r="J70" s="24" t="s">
        <v>396</v>
      </c>
      <c r="K70" s="25" t="s">
        <v>260</v>
      </c>
    </row>
    <row r="71" customFormat="false" ht="15" hidden="false" customHeight="false" outlineLevel="0" collapsed="false">
      <c r="A71" s="4" t="s">
        <v>125</v>
      </c>
      <c r="B71" s="4" t="s">
        <v>397</v>
      </c>
      <c r="C71" s="4" t="s">
        <v>256</v>
      </c>
      <c r="D71" s="21" t="n">
        <v>18</v>
      </c>
      <c r="E71" s="4" t="s">
        <v>36</v>
      </c>
      <c r="F71" s="22" t="n">
        <f aca="false">IF(E71="Por usuario",Supuestos!$B$7,IF(E71="Por canal",Supuestos!$B$8,1))</f>
        <v>10</v>
      </c>
      <c r="G71" s="23" t="n">
        <f aca="false">D71*F71</f>
        <v>180</v>
      </c>
      <c r="H71" s="24" t="s">
        <v>257</v>
      </c>
      <c r="I71" s="4" t="s">
        <v>398</v>
      </c>
      <c r="J71" s="24" t="s">
        <v>399</v>
      </c>
      <c r="K71" s="25" t="s">
        <v>260</v>
      </c>
    </row>
    <row r="72" customFormat="false" ht="15" hidden="false" customHeight="false" outlineLevel="0" collapsed="false">
      <c r="A72" s="4" t="s">
        <v>125</v>
      </c>
      <c r="B72" s="4" t="s">
        <v>400</v>
      </c>
      <c r="C72" s="4" t="s">
        <v>36</v>
      </c>
      <c r="D72" s="21" t="n">
        <v>9.9</v>
      </c>
      <c r="E72" s="4" t="s">
        <v>36</v>
      </c>
      <c r="F72" s="22" t="n">
        <f aca="false">IF(E72="Por usuario",Supuestos!$B$7,IF(E72="Por canal",Supuestos!$B$8,1))</f>
        <v>10</v>
      </c>
      <c r="G72" s="23" t="n">
        <f aca="false">D72*F72</f>
        <v>99</v>
      </c>
      <c r="H72" s="24" t="s">
        <v>257</v>
      </c>
      <c r="I72" s="4" t="s">
        <v>291</v>
      </c>
      <c r="J72" s="24" t="s">
        <v>401</v>
      </c>
      <c r="K72" s="25" t="s">
        <v>260</v>
      </c>
    </row>
    <row r="73" customFormat="false" ht="15" hidden="false" customHeight="false" outlineLevel="0" collapsed="false">
      <c r="A73" s="4" t="s">
        <v>125</v>
      </c>
      <c r="B73" s="4" t="s">
        <v>402</v>
      </c>
      <c r="C73" s="4" t="s">
        <v>403</v>
      </c>
      <c r="D73" s="21" t="n">
        <v>100</v>
      </c>
      <c r="E73" s="4" t="s">
        <v>271</v>
      </c>
      <c r="F73" s="22" t="n">
        <f aca="false">IF(E73="Por usuario",Supuestos!$B$7,IF(E73="Por canal",Supuestos!$B$8,1))</f>
        <v>1</v>
      </c>
      <c r="G73" s="23" t="n">
        <f aca="false">D73*F73</f>
        <v>100</v>
      </c>
      <c r="H73" s="24" t="s">
        <v>257</v>
      </c>
      <c r="I73" s="4"/>
      <c r="J73" s="24" t="s">
        <v>404</v>
      </c>
      <c r="K73" s="26" t="s">
        <v>274</v>
      </c>
    </row>
    <row r="74" customFormat="false" ht="15" hidden="false" customHeight="false" outlineLevel="0" collapsed="false">
      <c r="A74" s="4" t="s">
        <v>125</v>
      </c>
      <c r="B74" s="4" t="s">
        <v>405</v>
      </c>
      <c r="C74" s="4" t="s">
        <v>359</v>
      </c>
      <c r="D74" s="21" t="n">
        <v>9</v>
      </c>
      <c r="E74" s="4" t="s">
        <v>36</v>
      </c>
      <c r="F74" s="22" t="n">
        <f aca="false">IF(E74="Por usuario",Supuestos!$B$7,IF(E74="Por canal",Supuestos!$B$8,1))</f>
        <v>10</v>
      </c>
      <c r="G74" s="23" t="n">
        <f aca="false">D74*F74</f>
        <v>90</v>
      </c>
      <c r="H74" s="24" t="s">
        <v>257</v>
      </c>
      <c r="I74" s="4" t="s">
        <v>406</v>
      </c>
      <c r="J74" s="24" t="s">
        <v>407</v>
      </c>
      <c r="K74" s="25" t="s">
        <v>260</v>
      </c>
    </row>
    <row r="75" customFormat="false" ht="15" hidden="false" customHeight="false" outlineLevel="0" collapsed="false">
      <c r="A75" s="4" t="s">
        <v>125</v>
      </c>
      <c r="B75" s="4" t="s">
        <v>400</v>
      </c>
      <c r="C75" s="4" t="s">
        <v>408</v>
      </c>
      <c r="D75" s="21" t="n">
        <v>2500</v>
      </c>
      <c r="E75" s="4" t="s">
        <v>271</v>
      </c>
      <c r="F75" s="22" t="n">
        <f aca="false">IF(E75="Por usuario",Supuestos!$B$7,IF(E75="Por canal",Supuestos!$B$8,1))</f>
        <v>1</v>
      </c>
      <c r="G75" s="23" t="n">
        <f aca="false">D75*F75</f>
        <v>2500</v>
      </c>
      <c r="H75" s="27" t="s">
        <v>353</v>
      </c>
      <c r="I75" s="4" t="s">
        <v>409</v>
      </c>
      <c r="J75" s="24" t="s">
        <v>401</v>
      </c>
      <c r="K75" s="25" t="s">
        <v>260</v>
      </c>
    </row>
    <row r="76" customFormat="false" ht="15" hidden="false" customHeight="false" outlineLevel="0" collapsed="false">
      <c r="A76" s="4" t="s">
        <v>125</v>
      </c>
      <c r="B76" s="4" t="s">
        <v>410</v>
      </c>
      <c r="C76" s="4" t="s">
        <v>302</v>
      </c>
      <c r="D76" s="21" t="n">
        <v>1405</v>
      </c>
      <c r="E76" s="4" t="s">
        <v>271</v>
      </c>
      <c r="F76" s="22" t="n">
        <f aca="false">IF(E76="Por usuario",Supuestos!$B$7,IF(E76="Por canal",Supuestos!$B$8,1))</f>
        <v>1</v>
      </c>
      <c r="G76" s="23" t="n">
        <f aca="false">D76*F76</f>
        <v>1405</v>
      </c>
      <c r="H76" s="27" t="s">
        <v>353</v>
      </c>
      <c r="I76" s="4"/>
      <c r="J76" s="24" t="s">
        <v>411</v>
      </c>
      <c r="K76" s="25" t="s">
        <v>260</v>
      </c>
    </row>
    <row r="77" customFormat="false" ht="15" hidden="false" customHeight="false" outlineLevel="0" collapsed="false">
      <c r="A77" s="4" t="s">
        <v>134</v>
      </c>
      <c r="B77" s="4" t="s">
        <v>412</v>
      </c>
      <c r="C77" s="4" t="s">
        <v>276</v>
      </c>
      <c r="D77" s="21" t="n">
        <v>59</v>
      </c>
      <c r="E77" s="4" t="s">
        <v>271</v>
      </c>
      <c r="F77" s="22" t="n">
        <f aca="false">IF(E77="Por usuario",Supuestos!$B$7,IF(E77="Por canal",Supuestos!$B$8,1))</f>
        <v>1</v>
      </c>
      <c r="G77" s="23" t="n">
        <f aca="false">D77*F77</f>
        <v>59</v>
      </c>
      <c r="H77" s="24" t="s">
        <v>257</v>
      </c>
      <c r="I77" s="4" t="s">
        <v>413</v>
      </c>
      <c r="J77" s="24" t="s">
        <v>414</v>
      </c>
      <c r="K77" s="25" t="s">
        <v>260</v>
      </c>
    </row>
    <row r="78" customFormat="false" ht="15" hidden="false" customHeight="false" outlineLevel="0" collapsed="false">
      <c r="A78" s="4" t="s">
        <v>134</v>
      </c>
      <c r="B78" s="4" t="s">
        <v>412</v>
      </c>
      <c r="C78" s="4" t="s">
        <v>262</v>
      </c>
      <c r="D78" s="21" t="n">
        <v>159</v>
      </c>
      <c r="E78" s="4" t="s">
        <v>271</v>
      </c>
      <c r="F78" s="22" t="n">
        <f aca="false">IF(E78="Por usuario",Supuestos!$B$7,IF(E78="Por canal",Supuestos!$B$8,1))</f>
        <v>1</v>
      </c>
      <c r="G78" s="23" t="n">
        <f aca="false">D78*F78</f>
        <v>159</v>
      </c>
      <c r="H78" s="24" t="s">
        <v>257</v>
      </c>
      <c r="I78" s="4" t="s">
        <v>415</v>
      </c>
      <c r="J78" s="24" t="s">
        <v>414</v>
      </c>
      <c r="K78" s="25" t="s">
        <v>260</v>
      </c>
    </row>
    <row r="79" customFormat="false" ht="15" hidden="false" customHeight="false" outlineLevel="0" collapsed="false">
      <c r="A79" s="4" t="s">
        <v>134</v>
      </c>
      <c r="B79" s="4" t="s">
        <v>416</v>
      </c>
      <c r="C79" s="4" t="s">
        <v>270</v>
      </c>
      <c r="D79" s="21" t="n">
        <v>35</v>
      </c>
      <c r="E79" s="4" t="s">
        <v>271</v>
      </c>
      <c r="F79" s="22" t="n">
        <f aca="false">IF(E79="Por usuario",Supuestos!$B$7,IF(E79="Por canal",Supuestos!$B$8,1))</f>
        <v>1</v>
      </c>
      <c r="G79" s="23" t="n">
        <f aca="false">D79*F79</f>
        <v>35</v>
      </c>
      <c r="H79" s="24" t="s">
        <v>257</v>
      </c>
      <c r="I79" s="4" t="s">
        <v>417</v>
      </c>
      <c r="J79" s="24" t="s">
        <v>418</v>
      </c>
      <c r="K79" s="25" t="s">
        <v>260</v>
      </c>
    </row>
    <row r="80" customFormat="false" ht="15" hidden="false" customHeight="false" outlineLevel="0" collapsed="false">
      <c r="A80" s="4" t="s">
        <v>134</v>
      </c>
      <c r="B80" s="4" t="s">
        <v>416</v>
      </c>
      <c r="C80" s="4" t="s">
        <v>353</v>
      </c>
      <c r="D80" s="21" t="n">
        <v>65</v>
      </c>
      <c r="E80" s="4" t="s">
        <v>271</v>
      </c>
      <c r="F80" s="22" t="n">
        <f aca="false">IF(E80="Por usuario",Supuestos!$B$7,IF(E80="Por canal",Supuestos!$B$8,1))</f>
        <v>1</v>
      </c>
      <c r="G80" s="23" t="n">
        <f aca="false">D80*F80</f>
        <v>65</v>
      </c>
      <c r="H80" s="24" t="s">
        <v>257</v>
      </c>
      <c r="I80" s="4"/>
      <c r="J80" s="24" t="s">
        <v>418</v>
      </c>
      <c r="K80" s="25" t="s">
        <v>260</v>
      </c>
    </row>
    <row r="81" customFormat="false" ht="15" hidden="false" customHeight="false" outlineLevel="0" collapsed="false">
      <c r="A81" s="4" t="s">
        <v>134</v>
      </c>
      <c r="B81" s="4" t="s">
        <v>419</v>
      </c>
      <c r="C81" s="4" t="s">
        <v>270</v>
      </c>
      <c r="D81" s="21" t="n">
        <v>24</v>
      </c>
      <c r="E81" s="4" t="s">
        <v>271</v>
      </c>
      <c r="F81" s="22" t="n">
        <f aca="false">IF(E81="Por usuario",Supuestos!$B$7,IF(E81="Por canal",Supuestos!$B$8,1))</f>
        <v>1</v>
      </c>
      <c r="G81" s="23" t="n">
        <f aca="false">D81*F81</f>
        <v>24</v>
      </c>
      <c r="H81" s="24" t="s">
        <v>257</v>
      </c>
      <c r="I81" s="4" t="s">
        <v>420</v>
      </c>
      <c r="J81" s="24" t="s">
        <v>421</v>
      </c>
      <c r="K81" s="25" t="s">
        <v>260</v>
      </c>
    </row>
    <row r="82" customFormat="false" ht="15" hidden="false" customHeight="false" outlineLevel="0" collapsed="false">
      <c r="A82" s="4" t="s">
        <v>134</v>
      </c>
      <c r="B82" s="4" t="s">
        <v>422</v>
      </c>
      <c r="C82" s="4" t="s">
        <v>262</v>
      </c>
      <c r="D82" s="21" t="n">
        <v>199</v>
      </c>
      <c r="E82" s="4" t="s">
        <v>271</v>
      </c>
      <c r="F82" s="22" t="n">
        <f aca="false">IF(E82="Por usuario",Supuestos!$B$7,IF(E82="Por canal",Supuestos!$B$8,1))</f>
        <v>1</v>
      </c>
      <c r="G82" s="23" t="n">
        <f aca="false">D82*F82</f>
        <v>199</v>
      </c>
      <c r="H82" s="24" t="s">
        <v>257</v>
      </c>
      <c r="I82" s="4"/>
      <c r="J82" s="24" t="s">
        <v>423</v>
      </c>
      <c r="K82" s="26" t="s">
        <v>274</v>
      </c>
    </row>
    <row r="83" customFormat="false" ht="15" hidden="false" customHeight="false" outlineLevel="0" collapsed="false">
      <c r="A83" s="4" t="s">
        <v>142</v>
      </c>
      <c r="B83" s="4" t="s">
        <v>424</v>
      </c>
      <c r="C83" s="4" t="s">
        <v>359</v>
      </c>
      <c r="D83" s="21" t="n">
        <v>29</v>
      </c>
      <c r="E83" s="4" t="s">
        <v>271</v>
      </c>
      <c r="F83" s="22" t="n">
        <f aca="false">IF(E83="Por usuario",Supuestos!$B$7,IF(E83="Por canal",Supuestos!$B$8,1))</f>
        <v>1</v>
      </c>
      <c r="G83" s="23" t="n">
        <f aca="false">D83*F83</f>
        <v>29</v>
      </c>
      <c r="H83" s="24" t="s">
        <v>257</v>
      </c>
      <c r="I83" s="4" t="s">
        <v>425</v>
      </c>
      <c r="J83" s="24" t="s">
        <v>426</v>
      </c>
      <c r="K83" s="25" t="s">
        <v>260</v>
      </c>
    </row>
    <row r="84" customFormat="false" ht="15" hidden="false" customHeight="false" outlineLevel="0" collapsed="false">
      <c r="A84" s="4" t="s">
        <v>142</v>
      </c>
      <c r="B84" s="4" t="s">
        <v>424</v>
      </c>
      <c r="C84" s="4" t="s">
        <v>281</v>
      </c>
      <c r="D84" s="21" t="n">
        <v>59</v>
      </c>
      <c r="E84" s="4" t="s">
        <v>271</v>
      </c>
      <c r="F84" s="22" t="n">
        <f aca="false">IF(E84="Por usuario",Supuestos!$B$7,IF(E84="Por canal",Supuestos!$B$8,1))</f>
        <v>1</v>
      </c>
      <c r="G84" s="23" t="n">
        <f aca="false">D84*F84</f>
        <v>59</v>
      </c>
      <c r="H84" s="24" t="s">
        <v>257</v>
      </c>
      <c r="I84" s="4" t="s">
        <v>427</v>
      </c>
      <c r="J84" s="24" t="s">
        <v>426</v>
      </c>
      <c r="K84" s="25" t="s">
        <v>260</v>
      </c>
    </row>
    <row r="85" customFormat="false" ht="15" hidden="false" customHeight="false" outlineLevel="0" collapsed="false">
      <c r="A85" s="4" t="s">
        <v>142</v>
      </c>
      <c r="B85" s="4" t="s">
        <v>424</v>
      </c>
      <c r="C85" s="4" t="s">
        <v>256</v>
      </c>
      <c r="D85" s="21" t="n">
        <v>99</v>
      </c>
      <c r="E85" s="4" t="s">
        <v>271</v>
      </c>
      <c r="F85" s="22" t="n">
        <f aca="false">IF(E85="Por usuario",Supuestos!$B$7,IF(E85="Por canal",Supuestos!$B$8,1))</f>
        <v>1</v>
      </c>
      <c r="G85" s="23" t="n">
        <f aca="false">D85*F85</f>
        <v>99</v>
      </c>
      <c r="H85" s="24" t="s">
        <v>257</v>
      </c>
      <c r="I85" s="4" t="s">
        <v>428</v>
      </c>
      <c r="J85" s="24" t="s">
        <v>426</v>
      </c>
      <c r="K85" s="25" t="s">
        <v>260</v>
      </c>
    </row>
    <row r="86" customFormat="false" ht="15" hidden="false" customHeight="false" outlineLevel="0" collapsed="false">
      <c r="A86" s="4" t="s">
        <v>142</v>
      </c>
      <c r="B86" s="4" t="s">
        <v>429</v>
      </c>
      <c r="C86" s="4" t="s">
        <v>430</v>
      </c>
      <c r="D86" s="21" t="n">
        <v>24.99</v>
      </c>
      <c r="E86" s="4" t="s">
        <v>271</v>
      </c>
      <c r="F86" s="22" t="n">
        <f aca="false">IF(E86="Por usuario",Supuestos!$B$7,IF(E86="Por canal",Supuestos!$B$8,1))</f>
        <v>1</v>
      </c>
      <c r="G86" s="23" t="n">
        <f aca="false">D86*F86</f>
        <v>24.99</v>
      </c>
      <c r="H86" s="24" t="s">
        <v>257</v>
      </c>
      <c r="I86" s="4" t="s">
        <v>427</v>
      </c>
      <c r="J86" s="24" t="s">
        <v>426</v>
      </c>
      <c r="K86" s="25" t="s">
        <v>260</v>
      </c>
    </row>
    <row r="87" customFormat="false" ht="15" hidden="false" customHeight="false" outlineLevel="0" collapsed="false">
      <c r="A87" s="4" t="s">
        <v>142</v>
      </c>
      <c r="B87" s="4" t="s">
        <v>429</v>
      </c>
      <c r="C87" s="4" t="s">
        <v>431</v>
      </c>
      <c r="D87" s="21" t="n">
        <v>129</v>
      </c>
      <c r="E87" s="4" t="s">
        <v>271</v>
      </c>
      <c r="F87" s="22" t="n">
        <f aca="false">IF(E87="Por usuario",Supuestos!$B$7,IF(E87="Por canal",Supuestos!$B$8,1))</f>
        <v>1</v>
      </c>
      <c r="G87" s="23" t="n">
        <f aca="false">D87*F87</f>
        <v>129</v>
      </c>
      <c r="H87" s="24" t="s">
        <v>257</v>
      </c>
      <c r="I87" s="4" t="s">
        <v>428</v>
      </c>
      <c r="J87" s="24" t="s">
        <v>426</v>
      </c>
      <c r="K87" s="25" t="s">
        <v>260</v>
      </c>
    </row>
    <row r="88" customFormat="false" ht="15" hidden="false" customHeight="false" outlineLevel="0" collapsed="false">
      <c r="A88" s="4" t="s">
        <v>142</v>
      </c>
      <c r="B88" s="4" t="s">
        <v>432</v>
      </c>
      <c r="C88" s="4" t="s">
        <v>284</v>
      </c>
      <c r="D88" s="21" t="n">
        <v>24</v>
      </c>
      <c r="E88" s="4" t="s">
        <v>271</v>
      </c>
      <c r="F88" s="22" t="n">
        <f aca="false">IF(E88="Por usuario",Supuestos!$B$7,IF(E88="Por canal",Supuestos!$B$8,1))</f>
        <v>1</v>
      </c>
      <c r="G88" s="23" t="n">
        <f aca="false">D88*F88</f>
        <v>24</v>
      </c>
      <c r="H88" s="24" t="s">
        <v>257</v>
      </c>
      <c r="I88" s="4" t="s">
        <v>433</v>
      </c>
      <c r="J88" s="24" t="s">
        <v>434</v>
      </c>
      <c r="K88" s="25" t="s">
        <v>260</v>
      </c>
    </row>
    <row r="89" customFormat="false" ht="15" hidden="false" customHeight="false" outlineLevel="0" collapsed="false">
      <c r="A89" s="4" t="s">
        <v>142</v>
      </c>
      <c r="B89" s="4" t="s">
        <v>435</v>
      </c>
      <c r="C89" s="4" t="s">
        <v>284</v>
      </c>
      <c r="D89" s="21" t="n">
        <v>40</v>
      </c>
      <c r="E89" s="4" t="s">
        <v>271</v>
      </c>
      <c r="F89" s="22" t="n">
        <f aca="false">IF(E89="Por usuario",Supuestos!$B$7,IF(E89="Por canal",Supuestos!$B$8,1))</f>
        <v>1</v>
      </c>
      <c r="G89" s="23" t="n">
        <f aca="false">D89*F89</f>
        <v>40</v>
      </c>
      <c r="H89" s="24" t="s">
        <v>257</v>
      </c>
      <c r="I89" s="4" t="s">
        <v>291</v>
      </c>
      <c r="J89" s="24" t="s">
        <v>436</v>
      </c>
      <c r="K89" s="25" t="s">
        <v>260</v>
      </c>
    </row>
    <row r="90" customFormat="false" ht="15" hidden="false" customHeight="false" outlineLevel="0" collapsed="false">
      <c r="A90" s="4" t="s">
        <v>142</v>
      </c>
      <c r="B90" s="4" t="s">
        <v>435</v>
      </c>
      <c r="C90" s="4" t="s">
        <v>256</v>
      </c>
      <c r="D90" s="21" t="n">
        <v>75</v>
      </c>
      <c r="E90" s="4" t="s">
        <v>271</v>
      </c>
      <c r="F90" s="22" t="n">
        <f aca="false">IF(E90="Por usuario",Supuestos!$B$7,IF(E90="Por canal",Supuestos!$B$8,1))</f>
        <v>1</v>
      </c>
      <c r="G90" s="23" t="n">
        <f aca="false">D90*F90</f>
        <v>75</v>
      </c>
      <c r="H90" s="24" t="s">
        <v>257</v>
      </c>
      <c r="I90" s="4" t="s">
        <v>437</v>
      </c>
      <c r="J90" s="24" t="s">
        <v>436</v>
      </c>
      <c r="K90" s="25" t="s">
        <v>260</v>
      </c>
    </row>
    <row r="91" customFormat="false" ht="15" hidden="false" customHeight="false" outlineLevel="0" collapsed="false">
      <c r="A91" s="4" t="s">
        <v>150</v>
      </c>
      <c r="B91" s="4" t="s">
        <v>438</v>
      </c>
      <c r="C91" s="4" t="s">
        <v>379</v>
      </c>
      <c r="D91" s="21" t="n">
        <v>14</v>
      </c>
      <c r="E91" s="4" t="s">
        <v>36</v>
      </c>
      <c r="F91" s="22" t="n">
        <f aca="false">IF(E91="Por usuario",Supuestos!$B$7,IF(E91="Por canal",Supuestos!$B$8,1))</f>
        <v>10</v>
      </c>
      <c r="G91" s="23" t="n">
        <f aca="false">D91*F91</f>
        <v>140</v>
      </c>
      <c r="H91" s="24" t="s">
        <v>257</v>
      </c>
      <c r="I91" s="4" t="s">
        <v>291</v>
      </c>
      <c r="J91" s="24" t="s">
        <v>439</v>
      </c>
      <c r="K91" s="25" t="s">
        <v>260</v>
      </c>
    </row>
    <row r="92" customFormat="false" ht="15" hidden="false" customHeight="false" outlineLevel="0" collapsed="false">
      <c r="A92" s="4" t="s">
        <v>150</v>
      </c>
      <c r="B92" s="4" t="s">
        <v>438</v>
      </c>
      <c r="C92" s="4" t="s">
        <v>293</v>
      </c>
      <c r="D92" s="21" t="n">
        <v>39</v>
      </c>
      <c r="E92" s="4" t="s">
        <v>36</v>
      </c>
      <c r="F92" s="22" t="n">
        <f aca="false">IF(E92="Por usuario",Supuestos!$B$7,IF(E92="Por canal",Supuestos!$B$8,1))</f>
        <v>10</v>
      </c>
      <c r="G92" s="23" t="n">
        <f aca="false">D92*F92</f>
        <v>390</v>
      </c>
      <c r="H92" s="24" t="s">
        <v>257</v>
      </c>
      <c r="I92" s="4" t="s">
        <v>291</v>
      </c>
      <c r="J92" s="24" t="s">
        <v>439</v>
      </c>
      <c r="K92" s="25" t="s">
        <v>260</v>
      </c>
    </row>
    <row r="93" customFormat="false" ht="15" hidden="false" customHeight="false" outlineLevel="0" collapsed="false">
      <c r="A93" s="4" t="s">
        <v>150</v>
      </c>
      <c r="B93" s="4" t="s">
        <v>438</v>
      </c>
      <c r="C93" s="4" t="s">
        <v>352</v>
      </c>
      <c r="D93" s="21" t="n">
        <v>59</v>
      </c>
      <c r="E93" s="4" t="s">
        <v>36</v>
      </c>
      <c r="F93" s="22" t="n">
        <f aca="false">IF(E93="Por usuario",Supuestos!$B$7,IF(E93="Por canal",Supuestos!$B$8,1))</f>
        <v>10</v>
      </c>
      <c r="G93" s="23" t="n">
        <f aca="false">D93*F93</f>
        <v>590</v>
      </c>
      <c r="H93" s="24" t="s">
        <v>257</v>
      </c>
      <c r="I93" s="4" t="s">
        <v>291</v>
      </c>
      <c r="J93" s="24" t="s">
        <v>439</v>
      </c>
      <c r="K93" s="25" t="s">
        <v>260</v>
      </c>
    </row>
    <row r="94" customFormat="false" ht="15" hidden="false" customHeight="false" outlineLevel="0" collapsed="false">
      <c r="A94" s="4" t="s">
        <v>150</v>
      </c>
      <c r="B94" s="4" t="s">
        <v>438</v>
      </c>
      <c r="C94" s="4" t="s">
        <v>440</v>
      </c>
      <c r="D94" s="21" t="n">
        <v>79</v>
      </c>
      <c r="E94" s="4" t="s">
        <v>36</v>
      </c>
      <c r="F94" s="22" t="n">
        <f aca="false">IF(E94="Por usuario",Supuestos!$B$7,IF(E94="Por canal",Supuestos!$B$8,1))</f>
        <v>10</v>
      </c>
      <c r="G94" s="23" t="n">
        <f aca="false">D94*F94</f>
        <v>790</v>
      </c>
      <c r="H94" s="24" t="s">
        <v>257</v>
      </c>
      <c r="I94" s="4" t="s">
        <v>291</v>
      </c>
      <c r="J94" s="24" t="s">
        <v>439</v>
      </c>
      <c r="K94" s="25" t="s">
        <v>260</v>
      </c>
    </row>
    <row r="95" customFormat="false" ht="15" hidden="false" customHeight="false" outlineLevel="0" collapsed="false">
      <c r="A95" s="4" t="s">
        <v>150</v>
      </c>
      <c r="B95" s="4" t="s">
        <v>441</v>
      </c>
      <c r="C95" s="4" t="s">
        <v>270</v>
      </c>
      <c r="D95" s="21" t="n">
        <v>15</v>
      </c>
      <c r="E95" s="4" t="s">
        <v>36</v>
      </c>
      <c r="F95" s="22" t="n">
        <f aca="false">IF(E95="Por usuario",Supuestos!$B$7,IF(E95="Por canal",Supuestos!$B$8,1))</f>
        <v>10</v>
      </c>
      <c r="G95" s="23" t="n">
        <f aca="false">D95*F95</f>
        <v>150</v>
      </c>
      <c r="H95" s="24" t="s">
        <v>257</v>
      </c>
      <c r="I95" s="4" t="s">
        <v>442</v>
      </c>
      <c r="J95" s="24" t="s">
        <v>443</v>
      </c>
      <c r="K95" s="25" t="s">
        <v>260</v>
      </c>
    </row>
    <row r="96" customFormat="false" ht="15" hidden="false" customHeight="false" outlineLevel="0" collapsed="false">
      <c r="A96" s="4" t="s">
        <v>150</v>
      </c>
      <c r="B96" s="4" t="s">
        <v>441</v>
      </c>
      <c r="C96" s="4" t="s">
        <v>276</v>
      </c>
      <c r="D96" s="21" t="n">
        <v>90</v>
      </c>
      <c r="E96" s="4" t="s">
        <v>36</v>
      </c>
      <c r="F96" s="22" t="n">
        <f aca="false">IF(E96="Por usuario",Supuestos!$B$7,IF(E96="Por canal",Supuestos!$B$8,1))</f>
        <v>10</v>
      </c>
      <c r="G96" s="23" t="n">
        <f aca="false">D96*F96</f>
        <v>900</v>
      </c>
      <c r="H96" s="24" t="s">
        <v>257</v>
      </c>
      <c r="I96" s="4" t="s">
        <v>444</v>
      </c>
      <c r="J96" s="24" t="s">
        <v>443</v>
      </c>
      <c r="K96" s="25" t="s">
        <v>260</v>
      </c>
    </row>
    <row r="97" customFormat="false" ht="15" hidden="false" customHeight="false" outlineLevel="0" collapsed="false">
      <c r="A97" s="4" t="s">
        <v>150</v>
      </c>
      <c r="B97" s="4" t="s">
        <v>445</v>
      </c>
      <c r="C97" s="4" t="s">
        <v>359</v>
      </c>
      <c r="D97" s="21" t="n">
        <v>49</v>
      </c>
      <c r="E97" s="4" t="s">
        <v>36</v>
      </c>
      <c r="F97" s="22" t="n">
        <f aca="false">IF(E97="Por usuario",Supuestos!$B$7,IF(E97="Por canal",Supuestos!$B$8,1))</f>
        <v>10</v>
      </c>
      <c r="G97" s="23" t="n">
        <f aca="false">D97*F97</f>
        <v>490</v>
      </c>
      <c r="H97" s="24" t="s">
        <v>257</v>
      </c>
      <c r="I97" s="4" t="s">
        <v>291</v>
      </c>
      <c r="J97" s="24" t="s">
        <v>446</v>
      </c>
      <c r="K97" s="25" t="s">
        <v>260</v>
      </c>
    </row>
    <row r="98" customFormat="false" ht="15" hidden="false" customHeight="false" outlineLevel="0" collapsed="false">
      <c r="A98" s="4" t="s">
        <v>150</v>
      </c>
      <c r="B98" s="4" t="s">
        <v>445</v>
      </c>
      <c r="C98" s="4" t="s">
        <v>447</v>
      </c>
      <c r="D98" s="21" t="n">
        <v>119</v>
      </c>
      <c r="E98" s="4" t="s">
        <v>36</v>
      </c>
      <c r="F98" s="22" t="n">
        <f aca="false">IF(E98="Por usuario",Supuestos!$B$7,IF(E98="Por canal",Supuestos!$B$8,1))</f>
        <v>10</v>
      </c>
      <c r="G98" s="23" t="n">
        <f aca="false">D98*F98</f>
        <v>1190</v>
      </c>
      <c r="H98" s="24" t="s">
        <v>257</v>
      </c>
      <c r="I98" s="4" t="s">
        <v>291</v>
      </c>
      <c r="J98" s="24" t="s">
        <v>446</v>
      </c>
      <c r="K98" s="25" t="s">
        <v>260</v>
      </c>
    </row>
    <row r="99" customFormat="false" ht="15" hidden="false" customHeight="false" outlineLevel="0" collapsed="false">
      <c r="A99" s="4" t="s">
        <v>150</v>
      </c>
      <c r="B99" s="4" t="s">
        <v>448</v>
      </c>
      <c r="C99" s="4" t="s">
        <v>270</v>
      </c>
      <c r="D99" s="21" t="n">
        <v>37.45</v>
      </c>
      <c r="E99" s="4" t="s">
        <v>36</v>
      </c>
      <c r="F99" s="22" t="n">
        <f aca="false">IF(E99="Por usuario",Supuestos!$B$7,IF(E99="Por canal",Supuestos!$B$8,1))</f>
        <v>10</v>
      </c>
      <c r="G99" s="23" t="n">
        <f aca="false">D99*F99</f>
        <v>374.5</v>
      </c>
      <c r="H99" s="24" t="s">
        <v>257</v>
      </c>
      <c r="I99" s="4" t="s">
        <v>291</v>
      </c>
      <c r="J99" s="24" t="s">
        <v>449</v>
      </c>
      <c r="K99" s="25" t="s">
        <v>260</v>
      </c>
    </row>
    <row r="100" customFormat="false" ht="15" hidden="false" customHeight="false" outlineLevel="0" collapsed="false">
      <c r="A100" s="4" t="s">
        <v>150</v>
      </c>
      <c r="B100" s="4" t="s">
        <v>450</v>
      </c>
      <c r="C100" s="4" t="s">
        <v>451</v>
      </c>
      <c r="D100" s="21" t="n">
        <v>25</v>
      </c>
      <c r="E100" s="4" t="s">
        <v>36</v>
      </c>
      <c r="F100" s="22" t="n">
        <f aca="false">IF(E100="Por usuario",Supuestos!$B$7,IF(E100="Por canal",Supuestos!$B$8,1))</f>
        <v>10</v>
      </c>
      <c r="G100" s="23" t="n">
        <f aca="false">D100*F100</f>
        <v>250</v>
      </c>
      <c r="H100" s="24" t="s">
        <v>257</v>
      </c>
      <c r="I100" s="4"/>
      <c r="J100" s="24" t="s">
        <v>452</v>
      </c>
      <c r="K100" s="25" t="s">
        <v>260</v>
      </c>
    </row>
    <row r="101" customFormat="false" ht="15" hidden="false" customHeight="false" outlineLevel="0" collapsed="false">
      <c r="A101" s="4" t="s">
        <v>150</v>
      </c>
      <c r="B101" s="4" t="s">
        <v>450</v>
      </c>
      <c r="C101" s="4" t="s">
        <v>453</v>
      </c>
      <c r="D101" s="21" t="n">
        <v>100</v>
      </c>
      <c r="E101" s="4" t="s">
        <v>36</v>
      </c>
      <c r="F101" s="22" t="n">
        <f aca="false">IF(E101="Por usuario",Supuestos!$B$7,IF(E101="Por canal",Supuestos!$B$8,1))</f>
        <v>10</v>
      </c>
      <c r="G101" s="23" t="n">
        <f aca="false">D101*F101</f>
        <v>1000</v>
      </c>
      <c r="H101" s="24" t="s">
        <v>257</v>
      </c>
      <c r="I101" s="4"/>
      <c r="J101" s="24" t="s">
        <v>452</v>
      </c>
      <c r="K101" s="25" t="s">
        <v>260</v>
      </c>
    </row>
    <row r="102" customFormat="false" ht="15" hidden="false" customHeight="false" outlineLevel="0" collapsed="false">
      <c r="A102" s="4" t="s">
        <v>150</v>
      </c>
      <c r="B102" s="4" t="s">
        <v>450</v>
      </c>
      <c r="C102" s="4" t="s">
        <v>353</v>
      </c>
      <c r="D102" s="21" t="n">
        <v>175</v>
      </c>
      <c r="E102" s="4" t="s">
        <v>36</v>
      </c>
      <c r="F102" s="22" t="n">
        <f aca="false">IF(E102="Por usuario",Supuestos!$B$7,IF(E102="Por canal",Supuestos!$B$8,1))</f>
        <v>10</v>
      </c>
      <c r="G102" s="23" t="n">
        <f aca="false">D102*F102</f>
        <v>1750</v>
      </c>
      <c r="H102" s="24" t="s">
        <v>257</v>
      </c>
      <c r="I102" s="4" t="s">
        <v>454</v>
      </c>
      <c r="J102" s="24" t="s">
        <v>452</v>
      </c>
      <c r="K102" s="25" t="s">
        <v>260</v>
      </c>
    </row>
    <row r="103" customFormat="false" ht="15" hidden="false" customHeight="false" outlineLevel="0" collapsed="false">
      <c r="A103" s="4" t="s">
        <v>159</v>
      </c>
      <c r="B103" s="4" t="s">
        <v>455</v>
      </c>
      <c r="C103" s="4" t="s">
        <v>306</v>
      </c>
      <c r="D103" s="21" t="n">
        <v>5</v>
      </c>
      <c r="E103" s="4" t="s">
        <v>456</v>
      </c>
      <c r="F103" s="22" t="n">
        <f aca="false">IF(E103="Por usuario",Supuestos!$B$7,IF(E103="Por canal",Supuestos!$B$8,1))</f>
        <v>5</v>
      </c>
      <c r="G103" s="23" t="n">
        <f aca="false">D103*F103</f>
        <v>25</v>
      </c>
      <c r="H103" s="24" t="s">
        <v>257</v>
      </c>
      <c r="I103" s="4" t="s">
        <v>291</v>
      </c>
      <c r="J103" s="24" t="s">
        <v>457</v>
      </c>
      <c r="K103" s="25" t="s">
        <v>260</v>
      </c>
    </row>
    <row r="104" customFormat="false" ht="15" hidden="false" customHeight="false" outlineLevel="0" collapsed="false">
      <c r="A104" s="4" t="s">
        <v>159</v>
      </c>
      <c r="B104" s="4" t="s">
        <v>455</v>
      </c>
      <c r="C104" s="4" t="s">
        <v>262</v>
      </c>
      <c r="D104" s="21" t="n">
        <v>10</v>
      </c>
      <c r="E104" s="4" t="s">
        <v>456</v>
      </c>
      <c r="F104" s="22" t="n">
        <f aca="false">IF(E104="Por usuario",Supuestos!$B$7,IF(E104="Por canal",Supuestos!$B$8,1))</f>
        <v>5</v>
      </c>
      <c r="G104" s="23" t="n">
        <f aca="false">D104*F104</f>
        <v>50</v>
      </c>
      <c r="H104" s="24" t="s">
        <v>257</v>
      </c>
      <c r="I104" s="4" t="s">
        <v>291</v>
      </c>
      <c r="J104" s="24" t="s">
        <v>457</v>
      </c>
      <c r="K104" s="25" t="s">
        <v>260</v>
      </c>
    </row>
    <row r="105" customFormat="false" ht="15" hidden="false" customHeight="false" outlineLevel="0" collapsed="false">
      <c r="A105" s="4" t="s">
        <v>159</v>
      </c>
      <c r="B105" s="4" t="s">
        <v>458</v>
      </c>
      <c r="C105" s="4" t="s">
        <v>302</v>
      </c>
      <c r="D105" s="21" t="n">
        <v>99</v>
      </c>
      <c r="E105" s="4" t="s">
        <v>36</v>
      </c>
      <c r="F105" s="22" t="n">
        <f aca="false">IF(E105="Por usuario",Supuestos!$B$7,IF(E105="Por canal",Supuestos!$B$8,1))</f>
        <v>10</v>
      </c>
      <c r="G105" s="23" t="n">
        <f aca="false">D105*F105</f>
        <v>990</v>
      </c>
      <c r="H105" s="24" t="s">
        <v>257</v>
      </c>
      <c r="I105" s="4"/>
      <c r="J105" s="24" t="s">
        <v>459</v>
      </c>
      <c r="K105" s="25" t="s">
        <v>260</v>
      </c>
    </row>
    <row r="106" customFormat="false" ht="15" hidden="false" customHeight="false" outlineLevel="0" collapsed="false">
      <c r="A106" s="4" t="s">
        <v>159</v>
      </c>
      <c r="B106" s="4" t="s">
        <v>458</v>
      </c>
      <c r="C106" s="4" t="s">
        <v>298</v>
      </c>
      <c r="D106" s="21" t="n">
        <v>249</v>
      </c>
      <c r="E106" s="4" t="s">
        <v>36</v>
      </c>
      <c r="F106" s="22" t="n">
        <f aca="false">IF(E106="Por usuario",Supuestos!$B$7,IF(E106="Por canal",Supuestos!$B$8,1))</f>
        <v>10</v>
      </c>
      <c r="G106" s="23" t="n">
        <f aca="false">D106*F106</f>
        <v>2490</v>
      </c>
      <c r="H106" s="24" t="s">
        <v>257</v>
      </c>
      <c r="I106" s="4" t="s">
        <v>460</v>
      </c>
      <c r="J106" s="24" t="s">
        <v>459</v>
      </c>
      <c r="K106" s="25" t="s">
        <v>260</v>
      </c>
    </row>
    <row r="107" customFormat="false" ht="15" hidden="false" customHeight="false" outlineLevel="0" collapsed="false">
      <c r="A107" s="4" t="s">
        <v>159</v>
      </c>
      <c r="B107" s="4" t="s">
        <v>461</v>
      </c>
      <c r="C107" s="4" t="s">
        <v>270</v>
      </c>
      <c r="D107" s="21" t="n">
        <v>18</v>
      </c>
      <c r="E107" s="4" t="s">
        <v>271</v>
      </c>
      <c r="F107" s="22" t="n">
        <f aca="false">IF(E107="Por usuario",Supuestos!$B$7,IF(E107="Por canal",Supuestos!$B$8,1))</f>
        <v>1</v>
      </c>
      <c r="G107" s="23" t="n">
        <f aca="false">D107*F107</f>
        <v>18</v>
      </c>
      <c r="H107" s="24" t="s">
        <v>257</v>
      </c>
      <c r="I107" s="4" t="s">
        <v>462</v>
      </c>
      <c r="J107" s="24" t="s">
        <v>463</v>
      </c>
      <c r="K107" s="25" t="s">
        <v>260</v>
      </c>
    </row>
    <row r="108" customFormat="false" ht="15" hidden="false" customHeight="false" outlineLevel="0" collapsed="false">
      <c r="A108" s="4" t="s">
        <v>159</v>
      </c>
      <c r="B108" s="4" t="s">
        <v>464</v>
      </c>
      <c r="C108" s="4" t="s">
        <v>270</v>
      </c>
      <c r="D108" s="21" t="n">
        <v>18.75</v>
      </c>
      <c r="E108" s="4" t="s">
        <v>271</v>
      </c>
      <c r="F108" s="22" t="n">
        <f aca="false">IF(E108="Por usuario",Supuestos!$B$7,IF(E108="Por canal",Supuestos!$B$8,1))</f>
        <v>1</v>
      </c>
      <c r="G108" s="23" t="n">
        <f aca="false">D108*F108</f>
        <v>18.75</v>
      </c>
      <c r="H108" s="24" t="s">
        <v>257</v>
      </c>
      <c r="I108" s="4" t="s">
        <v>291</v>
      </c>
      <c r="J108" s="24" t="s">
        <v>465</v>
      </c>
      <c r="K108" s="25" t="s">
        <v>260</v>
      </c>
    </row>
    <row r="109" customFormat="false" ht="15" hidden="false" customHeight="false" outlineLevel="0" collapsed="false">
      <c r="A109" s="4" t="s">
        <v>159</v>
      </c>
      <c r="B109" s="4" t="s">
        <v>466</v>
      </c>
      <c r="C109" s="4" t="s">
        <v>298</v>
      </c>
      <c r="D109" s="21" t="n">
        <v>249</v>
      </c>
      <c r="E109" s="4" t="s">
        <v>36</v>
      </c>
      <c r="F109" s="22" t="n">
        <f aca="false">IF(E109="Por usuario",Supuestos!$B$7,IF(E109="Por canal",Supuestos!$B$8,1))</f>
        <v>10</v>
      </c>
      <c r="G109" s="23" t="n">
        <f aca="false">D109*F109</f>
        <v>2490</v>
      </c>
      <c r="H109" s="24" t="s">
        <v>257</v>
      </c>
      <c r="I109" s="4" t="s">
        <v>291</v>
      </c>
      <c r="J109" s="24" t="s">
        <v>467</v>
      </c>
      <c r="K109" s="25" t="s">
        <v>260</v>
      </c>
    </row>
    <row r="110" customFormat="false" ht="15" hidden="false" customHeight="false" outlineLevel="0" collapsed="false">
      <c r="A110" s="4" t="s">
        <v>167</v>
      </c>
      <c r="B110" s="4" t="s">
        <v>468</v>
      </c>
      <c r="C110" s="4" t="s">
        <v>469</v>
      </c>
      <c r="D110" s="21" t="n">
        <v>10</v>
      </c>
      <c r="E110" s="4" t="s">
        <v>36</v>
      </c>
      <c r="F110" s="22" t="n">
        <f aca="false">IF(E110="Por usuario",Supuestos!$B$7,IF(E110="Por canal",Supuestos!$B$8,1))</f>
        <v>10</v>
      </c>
      <c r="G110" s="23" t="n">
        <f aca="false">D110*F110</f>
        <v>100</v>
      </c>
      <c r="H110" s="24" t="s">
        <v>257</v>
      </c>
      <c r="I110" s="4" t="s">
        <v>470</v>
      </c>
      <c r="J110" s="24" t="s">
        <v>471</v>
      </c>
      <c r="K110" s="25" t="s">
        <v>260</v>
      </c>
    </row>
    <row r="111" customFormat="false" ht="15" hidden="false" customHeight="false" outlineLevel="0" collapsed="false">
      <c r="A111" s="4" t="s">
        <v>167</v>
      </c>
      <c r="B111" s="4" t="s">
        <v>472</v>
      </c>
      <c r="C111" s="4" t="s">
        <v>469</v>
      </c>
      <c r="D111" s="21" t="n">
        <v>7.99</v>
      </c>
      <c r="E111" s="4" t="s">
        <v>36</v>
      </c>
      <c r="F111" s="22" t="n">
        <f aca="false">IF(E111="Por usuario",Supuestos!$B$7,IF(E111="Por canal",Supuestos!$B$8,1))</f>
        <v>10</v>
      </c>
      <c r="G111" s="23" t="n">
        <f aca="false">D111*F111</f>
        <v>79.9</v>
      </c>
      <c r="H111" s="24" t="s">
        <v>257</v>
      </c>
      <c r="I111" s="4" t="s">
        <v>473</v>
      </c>
      <c r="J111" s="24" t="s">
        <v>474</v>
      </c>
      <c r="K111" s="25" t="s">
        <v>260</v>
      </c>
    </row>
    <row r="112" customFormat="false" ht="15" hidden="false" customHeight="false" outlineLevel="0" collapsed="false">
      <c r="A112" s="4" t="s">
        <v>167</v>
      </c>
      <c r="B112" s="4" t="s">
        <v>475</v>
      </c>
      <c r="C112" s="4" t="s">
        <v>276</v>
      </c>
      <c r="D112" s="21" t="n">
        <v>12</v>
      </c>
      <c r="E112" s="4" t="s">
        <v>36</v>
      </c>
      <c r="F112" s="22" t="n">
        <f aca="false">IF(E112="Por usuario",Supuestos!$B$7,IF(E112="Por canal",Supuestos!$B$8,1))</f>
        <v>10</v>
      </c>
      <c r="G112" s="23" t="n">
        <f aca="false">D112*F112</f>
        <v>120</v>
      </c>
      <c r="H112" s="24" t="s">
        <v>257</v>
      </c>
      <c r="I112" s="4" t="s">
        <v>476</v>
      </c>
      <c r="J112" s="24" t="s">
        <v>477</v>
      </c>
      <c r="K112" s="25" t="s">
        <v>260</v>
      </c>
    </row>
    <row r="113" customFormat="false" ht="15" hidden="false" customHeight="false" outlineLevel="0" collapsed="false">
      <c r="A113" s="4" t="s">
        <v>167</v>
      </c>
      <c r="B113" s="4" t="s">
        <v>478</v>
      </c>
      <c r="C113" s="4" t="s">
        <v>284</v>
      </c>
      <c r="D113" s="21" t="n">
        <v>13</v>
      </c>
      <c r="E113" s="4" t="s">
        <v>36</v>
      </c>
      <c r="F113" s="22" t="n">
        <f aca="false">IF(E113="Por usuario",Supuestos!$B$7,IF(E113="Por canal",Supuestos!$B$8,1))</f>
        <v>10</v>
      </c>
      <c r="G113" s="23" t="n">
        <f aca="false">D113*F113</f>
        <v>130</v>
      </c>
      <c r="H113" s="24" t="s">
        <v>257</v>
      </c>
      <c r="I113" s="4"/>
      <c r="J113" s="24" t="s">
        <v>479</v>
      </c>
      <c r="K113" s="26" t="s">
        <v>274</v>
      </c>
    </row>
    <row r="114" customFormat="false" ht="15" hidden="false" customHeight="false" outlineLevel="0" collapsed="false">
      <c r="A114" s="4" t="s">
        <v>176</v>
      </c>
      <c r="B114" s="4" t="s">
        <v>480</v>
      </c>
      <c r="C114" s="4" t="s">
        <v>481</v>
      </c>
      <c r="D114" s="21" t="n">
        <v>29</v>
      </c>
      <c r="E114" s="4" t="s">
        <v>271</v>
      </c>
      <c r="F114" s="22" t="n">
        <f aca="false">IF(E114="Por usuario",Supuestos!$B$7,IF(E114="Por canal",Supuestos!$B$8,1))</f>
        <v>1</v>
      </c>
      <c r="G114" s="23" t="n">
        <f aca="false">D114*F114</f>
        <v>29</v>
      </c>
      <c r="H114" s="24" t="s">
        <v>257</v>
      </c>
      <c r="I114" s="4" t="s">
        <v>482</v>
      </c>
      <c r="J114" s="24" t="s">
        <v>483</v>
      </c>
      <c r="K114" s="25" t="s">
        <v>260</v>
      </c>
    </row>
    <row r="115" customFormat="false" ht="15" hidden="false" customHeight="false" outlineLevel="0" collapsed="false">
      <c r="A115" s="4" t="s">
        <v>176</v>
      </c>
      <c r="B115" s="4" t="s">
        <v>484</v>
      </c>
      <c r="C115" s="4" t="s">
        <v>306</v>
      </c>
      <c r="D115" s="21" t="n">
        <v>9</v>
      </c>
      <c r="E115" s="4" t="s">
        <v>36</v>
      </c>
      <c r="F115" s="22" t="n">
        <f aca="false">IF(E115="Por usuario",Supuestos!$B$7,IF(E115="Por canal",Supuestos!$B$8,1))</f>
        <v>10</v>
      </c>
      <c r="G115" s="23" t="n">
        <f aca="false">D115*F115</f>
        <v>90</v>
      </c>
      <c r="H115" s="24" t="s">
        <v>257</v>
      </c>
      <c r="I115" s="4"/>
      <c r="J115" s="24" t="s">
        <v>485</v>
      </c>
      <c r="K115" s="25" t="s">
        <v>260</v>
      </c>
    </row>
    <row r="116" customFormat="false" ht="15" hidden="false" customHeight="false" outlineLevel="0" collapsed="false">
      <c r="A116" s="4" t="s">
        <v>176</v>
      </c>
      <c r="B116" s="4" t="s">
        <v>484</v>
      </c>
      <c r="C116" s="4" t="s">
        <v>281</v>
      </c>
      <c r="D116" s="21" t="n">
        <v>40</v>
      </c>
      <c r="E116" s="4" t="s">
        <v>36</v>
      </c>
      <c r="F116" s="22" t="n">
        <f aca="false">IF(E116="Por usuario",Supuestos!$B$7,IF(E116="Por canal",Supuestos!$B$8,1))</f>
        <v>10</v>
      </c>
      <c r="G116" s="23" t="n">
        <f aca="false">D116*F116</f>
        <v>400</v>
      </c>
      <c r="H116" s="24" t="s">
        <v>257</v>
      </c>
      <c r="I116" s="4"/>
      <c r="J116" s="24" t="s">
        <v>485</v>
      </c>
      <c r="K116" s="25" t="s">
        <v>260</v>
      </c>
    </row>
    <row r="117" customFormat="false" ht="15" hidden="false" customHeight="false" outlineLevel="0" collapsed="false">
      <c r="A117" s="4" t="s">
        <v>176</v>
      </c>
      <c r="B117" s="4" t="s">
        <v>486</v>
      </c>
      <c r="C117" s="4" t="s">
        <v>487</v>
      </c>
      <c r="D117" s="21" t="n">
        <v>119</v>
      </c>
      <c r="E117" s="4" t="s">
        <v>271</v>
      </c>
      <c r="F117" s="22" t="n">
        <f aca="false">IF(E117="Por usuario",Supuestos!$B$7,IF(E117="Por canal",Supuestos!$B$8,1))</f>
        <v>1</v>
      </c>
      <c r="G117" s="23" t="n">
        <f aca="false">D117*F117</f>
        <v>119</v>
      </c>
      <c r="H117" s="24" t="s">
        <v>257</v>
      </c>
      <c r="I117" s="4" t="s">
        <v>488</v>
      </c>
      <c r="J117" s="24" t="s">
        <v>489</v>
      </c>
      <c r="K117" s="25" t="s">
        <v>260</v>
      </c>
    </row>
    <row r="118" customFormat="false" ht="15" hidden="false" customHeight="false" outlineLevel="0" collapsed="false">
      <c r="A118" s="4" t="s">
        <v>176</v>
      </c>
      <c r="B118" s="4" t="s">
        <v>490</v>
      </c>
      <c r="C118" s="4" t="s">
        <v>284</v>
      </c>
      <c r="D118" s="21" t="n">
        <v>24.99</v>
      </c>
      <c r="E118" s="4" t="s">
        <v>36</v>
      </c>
      <c r="F118" s="22" t="n">
        <f aca="false">IF(E118="Por usuario",Supuestos!$B$7,IF(E118="Por canal",Supuestos!$B$8,1))</f>
        <v>10</v>
      </c>
      <c r="G118" s="23" t="n">
        <f aca="false">D118*F118</f>
        <v>249.9</v>
      </c>
      <c r="H118" s="24" t="s">
        <v>257</v>
      </c>
      <c r="I118" s="4"/>
      <c r="J118" s="24" t="s">
        <v>491</v>
      </c>
      <c r="K118" s="26" t="s">
        <v>274</v>
      </c>
    </row>
    <row r="119" customFormat="false" ht="15" hidden="false" customHeight="false" outlineLevel="0" collapsed="false">
      <c r="A119" s="4" t="s">
        <v>176</v>
      </c>
      <c r="B119" s="4" t="s">
        <v>492</v>
      </c>
      <c r="C119" s="4" t="s">
        <v>256</v>
      </c>
      <c r="D119" s="21" t="n">
        <v>50</v>
      </c>
      <c r="E119" s="4" t="s">
        <v>271</v>
      </c>
      <c r="F119" s="22" t="n">
        <f aca="false">IF(E119="Por usuario",Supuestos!$B$7,IF(E119="Por canal",Supuestos!$B$8,1))</f>
        <v>1</v>
      </c>
      <c r="G119" s="23" t="n">
        <f aca="false">D119*F119</f>
        <v>50</v>
      </c>
      <c r="H119" s="24" t="s">
        <v>257</v>
      </c>
      <c r="I119" s="4"/>
      <c r="J119" s="24" t="s">
        <v>493</v>
      </c>
      <c r="K119" s="26" t="s">
        <v>274</v>
      </c>
    </row>
    <row r="120" customFormat="false" ht="15" hidden="false" customHeight="false" outlineLevel="0" collapsed="false">
      <c r="A120" s="4" t="s">
        <v>185</v>
      </c>
      <c r="B120" s="4" t="s">
        <v>494</v>
      </c>
      <c r="C120" s="4" t="s">
        <v>306</v>
      </c>
      <c r="D120" s="21" t="n">
        <v>20</v>
      </c>
      <c r="E120" s="4" t="s">
        <v>36</v>
      </c>
      <c r="F120" s="22" t="n">
        <f aca="false">IF(E120="Por usuario",Supuestos!$B$7,IF(E120="Por canal",Supuestos!$B$8,1))</f>
        <v>10</v>
      </c>
      <c r="G120" s="23" t="n">
        <f aca="false">D120*F120</f>
        <v>200</v>
      </c>
      <c r="H120" s="24" t="s">
        <v>257</v>
      </c>
      <c r="I120" s="4" t="s">
        <v>495</v>
      </c>
      <c r="J120" s="24" t="s">
        <v>496</v>
      </c>
      <c r="K120" s="25" t="s">
        <v>260</v>
      </c>
    </row>
    <row r="121" customFormat="false" ht="15" hidden="false" customHeight="false" outlineLevel="0" collapsed="false">
      <c r="A121" s="4" t="s">
        <v>185</v>
      </c>
      <c r="B121" s="4" t="s">
        <v>494</v>
      </c>
      <c r="C121" s="4" t="s">
        <v>284</v>
      </c>
      <c r="D121" s="21" t="n">
        <v>80</v>
      </c>
      <c r="E121" s="4" t="s">
        <v>36</v>
      </c>
      <c r="F121" s="22" t="n">
        <f aca="false">IF(E121="Por usuario",Supuestos!$B$7,IF(E121="Por canal",Supuestos!$B$8,1))</f>
        <v>10</v>
      </c>
      <c r="G121" s="23" t="n">
        <f aca="false">D121*F121</f>
        <v>800</v>
      </c>
      <c r="H121" s="24" t="s">
        <v>257</v>
      </c>
      <c r="I121" s="4" t="s">
        <v>495</v>
      </c>
      <c r="J121" s="24" t="s">
        <v>496</v>
      </c>
      <c r="K121" s="25" t="s">
        <v>260</v>
      </c>
    </row>
    <row r="122" customFormat="false" ht="15" hidden="false" customHeight="false" outlineLevel="0" collapsed="false">
      <c r="A122" s="4" t="s">
        <v>185</v>
      </c>
      <c r="B122" s="4" t="s">
        <v>497</v>
      </c>
      <c r="C122" s="4" t="s">
        <v>498</v>
      </c>
      <c r="D122" s="21" t="n">
        <v>39</v>
      </c>
      <c r="E122" s="4" t="s">
        <v>36</v>
      </c>
      <c r="F122" s="22" t="n">
        <f aca="false">IF(E122="Por usuario",Supuestos!$B$7,IF(E122="Por canal",Supuestos!$B$8,1))</f>
        <v>10</v>
      </c>
      <c r="G122" s="23" t="n">
        <f aca="false">D122*F122</f>
        <v>390</v>
      </c>
      <c r="H122" s="24" t="s">
        <v>257</v>
      </c>
      <c r="I122" s="4"/>
      <c r="J122" s="24" t="s">
        <v>499</v>
      </c>
      <c r="K122" s="25" t="s">
        <v>260</v>
      </c>
    </row>
    <row r="123" customFormat="false" ht="15" hidden="false" customHeight="false" outlineLevel="0" collapsed="false">
      <c r="A123" s="4" t="s">
        <v>185</v>
      </c>
      <c r="B123" s="4" t="s">
        <v>497</v>
      </c>
      <c r="C123" s="4" t="s">
        <v>500</v>
      </c>
      <c r="D123" s="21" t="n">
        <v>59</v>
      </c>
      <c r="E123" s="4" t="s">
        <v>36</v>
      </c>
      <c r="F123" s="22" t="n">
        <f aca="false">IF(E123="Por usuario",Supuestos!$B$7,IF(E123="Por canal",Supuestos!$B$8,1))</f>
        <v>10</v>
      </c>
      <c r="G123" s="23" t="n">
        <f aca="false">D123*F123</f>
        <v>590</v>
      </c>
      <c r="H123" s="24" t="s">
        <v>257</v>
      </c>
      <c r="I123" s="4"/>
      <c r="J123" s="24" t="s">
        <v>499</v>
      </c>
      <c r="K123" s="25" t="s">
        <v>260</v>
      </c>
    </row>
    <row r="124" customFormat="false" ht="15" hidden="false" customHeight="false" outlineLevel="0" collapsed="false">
      <c r="A124" s="4" t="s">
        <v>185</v>
      </c>
      <c r="B124" s="4" t="s">
        <v>501</v>
      </c>
      <c r="C124" s="4" t="s">
        <v>295</v>
      </c>
      <c r="D124" s="21" t="n">
        <v>19</v>
      </c>
      <c r="E124" s="4" t="s">
        <v>36</v>
      </c>
      <c r="F124" s="22" t="n">
        <f aca="false">IF(E124="Por usuario",Supuestos!$B$7,IF(E124="Por canal",Supuestos!$B$8,1))</f>
        <v>10</v>
      </c>
      <c r="G124" s="23" t="n">
        <f aca="false">D124*F124</f>
        <v>190</v>
      </c>
      <c r="H124" s="24" t="s">
        <v>257</v>
      </c>
      <c r="I124" s="4"/>
      <c r="J124" s="24" t="s">
        <v>502</v>
      </c>
      <c r="K124" s="25" t="s">
        <v>260</v>
      </c>
    </row>
    <row r="125" customFormat="false" ht="15" hidden="false" customHeight="false" outlineLevel="0" collapsed="false">
      <c r="A125" s="4" t="s">
        <v>185</v>
      </c>
      <c r="B125" s="4" t="s">
        <v>501</v>
      </c>
      <c r="C125" s="4" t="s">
        <v>298</v>
      </c>
      <c r="D125" s="21" t="n">
        <v>69</v>
      </c>
      <c r="E125" s="4" t="s">
        <v>36</v>
      </c>
      <c r="F125" s="22" t="n">
        <f aca="false">IF(E125="Por usuario",Supuestos!$B$7,IF(E125="Por canal",Supuestos!$B$8,1))</f>
        <v>10</v>
      </c>
      <c r="G125" s="23" t="n">
        <f aca="false">D125*F125</f>
        <v>690</v>
      </c>
      <c r="H125" s="24" t="s">
        <v>257</v>
      </c>
      <c r="I125" s="4"/>
      <c r="J125" s="24" t="s">
        <v>502</v>
      </c>
      <c r="K125" s="25" t="s">
        <v>260</v>
      </c>
    </row>
    <row r="126" customFormat="false" ht="15" hidden="false" customHeight="false" outlineLevel="0" collapsed="false">
      <c r="A126" s="4" t="s">
        <v>185</v>
      </c>
      <c r="B126" s="4" t="s">
        <v>503</v>
      </c>
      <c r="C126" s="4" t="s">
        <v>302</v>
      </c>
      <c r="D126" s="21" t="n">
        <v>10</v>
      </c>
      <c r="E126" s="4" t="s">
        <v>36</v>
      </c>
      <c r="F126" s="22" t="n">
        <f aca="false">IF(E126="Por usuario",Supuestos!$B$7,IF(E126="Por canal",Supuestos!$B$8,1))</f>
        <v>10</v>
      </c>
      <c r="G126" s="23" t="n">
        <f aca="false">D126*F126</f>
        <v>100</v>
      </c>
      <c r="H126" s="24" t="s">
        <v>257</v>
      </c>
      <c r="I126" s="4" t="s">
        <v>504</v>
      </c>
      <c r="J126" s="24" t="s">
        <v>505</v>
      </c>
      <c r="K126" s="25" t="s">
        <v>260</v>
      </c>
    </row>
    <row r="127" customFormat="false" ht="15" hidden="false" customHeight="false" outlineLevel="0" collapsed="false">
      <c r="A127" s="4" t="s">
        <v>193</v>
      </c>
      <c r="B127" s="4" t="s">
        <v>506</v>
      </c>
      <c r="C127" s="4" t="s">
        <v>284</v>
      </c>
      <c r="D127" s="21" t="n">
        <v>499</v>
      </c>
      <c r="E127" s="4" t="s">
        <v>271</v>
      </c>
      <c r="F127" s="22" t="n">
        <f aca="false">IF(E127="Por usuario",Supuestos!$B$7,IF(E127="Por canal",Supuestos!$B$8,1))</f>
        <v>1</v>
      </c>
      <c r="G127" s="23" t="n">
        <f aca="false">D127*F127</f>
        <v>499</v>
      </c>
      <c r="H127" s="24" t="s">
        <v>257</v>
      </c>
      <c r="I127" s="4" t="s">
        <v>507</v>
      </c>
      <c r="J127" s="24" t="s">
        <v>508</v>
      </c>
      <c r="K127" s="25" t="s">
        <v>260</v>
      </c>
    </row>
    <row r="128" customFormat="false" ht="15" hidden="false" customHeight="false" outlineLevel="0" collapsed="false">
      <c r="A128" s="4" t="s">
        <v>193</v>
      </c>
      <c r="B128" s="4" t="s">
        <v>506</v>
      </c>
      <c r="C128" s="4" t="s">
        <v>509</v>
      </c>
      <c r="D128" s="21" t="n">
        <v>300</v>
      </c>
      <c r="E128" s="4" t="s">
        <v>271</v>
      </c>
      <c r="F128" s="22" t="n">
        <f aca="false">IF(E128="Por usuario",Supuestos!$B$7,IF(E128="Por canal",Supuestos!$B$8,1))</f>
        <v>1</v>
      </c>
      <c r="G128" s="23" t="n">
        <f aca="false">D128*F128</f>
        <v>300</v>
      </c>
      <c r="H128" s="24" t="s">
        <v>257</v>
      </c>
      <c r="I128" s="4"/>
      <c r="J128" s="24" t="s">
        <v>508</v>
      </c>
      <c r="K128" s="25" t="s">
        <v>260</v>
      </c>
    </row>
    <row r="129" customFormat="false" ht="15" hidden="false" customHeight="false" outlineLevel="0" collapsed="false">
      <c r="A129" s="4" t="s">
        <v>193</v>
      </c>
      <c r="B129" s="4" t="s">
        <v>510</v>
      </c>
      <c r="C129" s="4" t="s">
        <v>256</v>
      </c>
      <c r="D129" s="21" t="n">
        <v>1000</v>
      </c>
      <c r="E129" s="4" t="s">
        <v>271</v>
      </c>
      <c r="F129" s="22" t="n">
        <f aca="false">IF(E129="Por usuario",Supuestos!$B$7,IF(E129="Por canal",Supuestos!$B$8,1))</f>
        <v>1</v>
      </c>
      <c r="G129" s="23" t="n">
        <f aca="false">D129*F129</f>
        <v>1000</v>
      </c>
      <c r="H129" s="24" t="s">
        <v>257</v>
      </c>
      <c r="I129" s="4"/>
      <c r="J129" s="24" t="s">
        <v>511</v>
      </c>
      <c r="K129" s="26" t="s">
        <v>274</v>
      </c>
    </row>
    <row r="130" customFormat="false" ht="15" hidden="false" customHeight="false" outlineLevel="0" collapsed="false">
      <c r="A130" s="4" t="s">
        <v>193</v>
      </c>
      <c r="B130" s="4" t="s">
        <v>512</v>
      </c>
      <c r="C130" s="4" t="s">
        <v>513</v>
      </c>
      <c r="D130" s="21" t="n">
        <v>3750</v>
      </c>
      <c r="E130" s="4" t="s">
        <v>271</v>
      </c>
      <c r="F130" s="22" t="n">
        <f aca="false">IF(E130="Por usuario",Supuestos!$B$7,IF(E130="Por canal",Supuestos!$B$8,1))</f>
        <v>1</v>
      </c>
      <c r="G130" s="23" t="n">
        <f aca="false">D130*F130</f>
        <v>3750</v>
      </c>
      <c r="H130" s="27" t="s">
        <v>353</v>
      </c>
      <c r="I130" s="4" t="s">
        <v>514</v>
      </c>
      <c r="J130" s="24" t="s">
        <v>515</v>
      </c>
      <c r="K130" s="25" t="s">
        <v>260</v>
      </c>
    </row>
    <row r="131" customFormat="false" ht="15" hidden="false" customHeight="false" outlineLevel="0" collapsed="false">
      <c r="A131" s="4" t="s">
        <v>193</v>
      </c>
      <c r="B131" s="4" t="s">
        <v>516</v>
      </c>
      <c r="C131" s="4" t="s">
        <v>353</v>
      </c>
      <c r="D131" s="21" t="n">
        <v>6250</v>
      </c>
      <c r="E131" s="4" t="s">
        <v>271</v>
      </c>
      <c r="F131" s="22" t="n">
        <f aca="false">IF(E131="Por usuario",Supuestos!$B$7,IF(E131="Por canal",Supuestos!$B$8,1))</f>
        <v>1</v>
      </c>
      <c r="G131" s="23" t="n">
        <f aca="false">D131*F131</f>
        <v>6250</v>
      </c>
      <c r="H131" s="27" t="s">
        <v>353</v>
      </c>
      <c r="I131" s="4" t="s">
        <v>517</v>
      </c>
      <c r="J131" s="24" t="s">
        <v>518</v>
      </c>
      <c r="K131" s="25" t="s">
        <v>260</v>
      </c>
    </row>
    <row r="132" customFormat="false" ht="15" hidden="false" customHeight="false" outlineLevel="0" collapsed="false">
      <c r="A132" s="4" t="s">
        <v>201</v>
      </c>
      <c r="B132" s="4" t="s">
        <v>519</v>
      </c>
      <c r="C132" s="4" t="s">
        <v>359</v>
      </c>
      <c r="D132" s="21" t="n">
        <v>39</v>
      </c>
      <c r="E132" s="4" t="s">
        <v>271</v>
      </c>
      <c r="F132" s="22" t="n">
        <f aca="false">IF(E132="Por usuario",Supuestos!$B$7,IF(E132="Por canal",Supuestos!$B$8,1))</f>
        <v>1</v>
      </c>
      <c r="G132" s="23" t="n">
        <f aca="false">D132*F132</f>
        <v>39</v>
      </c>
      <c r="H132" s="24" t="s">
        <v>257</v>
      </c>
      <c r="I132" s="4" t="s">
        <v>520</v>
      </c>
      <c r="J132" s="24" t="s">
        <v>521</v>
      </c>
      <c r="K132" s="25" t="s">
        <v>260</v>
      </c>
    </row>
    <row r="133" customFormat="false" ht="15" hidden="false" customHeight="false" outlineLevel="0" collapsed="false">
      <c r="A133" s="4" t="s">
        <v>201</v>
      </c>
      <c r="B133" s="4" t="s">
        <v>519</v>
      </c>
      <c r="C133" s="4" t="s">
        <v>522</v>
      </c>
      <c r="D133" s="21" t="n">
        <v>105</v>
      </c>
      <c r="E133" s="4" t="s">
        <v>271</v>
      </c>
      <c r="F133" s="22" t="n">
        <f aca="false">IF(E133="Por usuario",Supuestos!$B$7,IF(E133="Por canal",Supuestos!$B$8,1))</f>
        <v>1</v>
      </c>
      <c r="G133" s="23" t="n">
        <f aca="false">D133*F133</f>
        <v>105</v>
      </c>
      <c r="H133" s="24" t="s">
        <v>257</v>
      </c>
      <c r="I133" s="4"/>
      <c r="J133" s="24" t="s">
        <v>521</v>
      </c>
      <c r="K133" s="25" t="s">
        <v>260</v>
      </c>
    </row>
    <row r="134" customFormat="false" ht="15" hidden="false" customHeight="false" outlineLevel="0" collapsed="false">
      <c r="A134" s="4" t="s">
        <v>201</v>
      </c>
      <c r="B134" s="4" t="s">
        <v>519</v>
      </c>
      <c r="C134" s="4" t="s">
        <v>298</v>
      </c>
      <c r="D134" s="21" t="n">
        <v>399</v>
      </c>
      <c r="E134" s="4" t="s">
        <v>271</v>
      </c>
      <c r="F134" s="22" t="n">
        <f aca="false">IF(E134="Por usuario",Supuestos!$B$7,IF(E134="Por canal",Supuestos!$B$8,1))</f>
        <v>1</v>
      </c>
      <c r="G134" s="23" t="n">
        <f aca="false">D134*F134</f>
        <v>399</v>
      </c>
      <c r="H134" s="24" t="s">
        <v>257</v>
      </c>
      <c r="I134" s="4"/>
      <c r="J134" s="24" t="s">
        <v>521</v>
      </c>
      <c r="K134" s="25" t="s">
        <v>260</v>
      </c>
    </row>
    <row r="135" customFormat="false" ht="15" hidden="false" customHeight="false" outlineLevel="0" collapsed="false">
      <c r="A135" s="4" t="s">
        <v>201</v>
      </c>
      <c r="B135" s="4" t="s">
        <v>523</v>
      </c>
      <c r="C135" s="4" t="s">
        <v>302</v>
      </c>
      <c r="D135" s="21" t="n">
        <v>39</v>
      </c>
      <c r="E135" s="4" t="s">
        <v>271</v>
      </c>
      <c r="F135" s="22" t="n">
        <f aca="false">IF(E135="Por usuario",Supuestos!$B$7,IF(E135="Por canal",Supuestos!$B$8,1))</f>
        <v>1</v>
      </c>
      <c r="G135" s="23" t="n">
        <f aca="false">D135*F135</f>
        <v>39</v>
      </c>
      <c r="H135" s="24" t="s">
        <v>257</v>
      </c>
      <c r="I135" s="4" t="s">
        <v>524</v>
      </c>
      <c r="J135" s="24" t="s">
        <v>525</v>
      </c>
      <c r="K135" s="25" t="s">
        <v>260</v>
      </c>
    </row>
    <row r="136" customFormat="false" ht="15" hidden="false" customHeight="false" outlineLevel="0" collapsed="false">
      <c r="A136" s="4" t="s">
        <v>201</v>
      </c>
      <c r="B136" s="4" t="s">
        <v>523</v>
      </c>
      <c r="C136" s="4" t="s">
        <v>281</v>
      </c>
      <c r="D136" s="21" t="n">
        <v>105</v>
      </c>
      <c r="E136" s="4" t="s">
        <v>271</v>
      </c>
      <c r="F136" s="22" t="n">
        <f aca="false">IF(E136="Por usuario",Supuestos!$B$7,IF(E136="Por canal",Supuestos!$B$8,1))</f>
        <v>1</v>
      </c>
      <c r="G136" s="23" t="n">
        <f aca="false">D136*F136</f>
        <v>105</v>
      </c>
      <c r="H136" s="24" t="s">
        <v>257</v>
      </c>
      <c r="I136" s="4"/>
      <c r="J136" s="24" t="s">
        <v>525</v>
      </c>
      <c r="K136" s="25" t="s">
        <v>260</v>
      </c>
    </row>
    <row r="137" customFormat="false" ht="15" hidden="false" customHeight="false" outlineLevel="0" collapsed="false">
      <c r="A137" s="4" t="s">
        <v>201</v>
      </c>
      <c r="B137" s="4" t="s">
        <v>526</v>
      </c>
      <c r="C137" s="4" t="s">
        <v>487</v>
      </c>
      <c r="D137" s="21" t="n">
        <v>17</v>
      </c>
      <c r="E137" s="4" t="s">
        <v>271</v>
      </c>
      <c r="F137" s="22" t="n">
        <f aca="false">IF(E137="Por usuario",Supuestos!$B$7,IF(E137="Por canal",Supuestos!$B$8,1))</f>
        <v>1</v>
      </c>
      <c r="G137" s="23" t="n">
        <f aca="false">D137*F137</f>
        <v>17</v>
      </c>
      <c r="H137" s="24" t="s">
        <v>257</v>
      </c>
      <c r="I137" s="4" t="s">
        <v>291</v>
      </c>
      <c r="J137" s="24" t="s">
        <v>527</v>
      </c>
      <c r="K137" s="25" t="s">
        <v>260</v>
      </c>
    </row>
    <row r="138" customFormat="false" ht="15" hidden="false" customHeight="false" outlineLevel="0" collapsed="false">
      <c r="A138" s="4" t="s">
        <v>201</v>
      </c>
      <c r="B138" s="4" t="s">
        <v>526</v>
      </c>
      <c r="C138" s="4" t="s">
        <v>528</v>
      </c>
      <c r="D138" s="21" t="n">
        <v>159</v>
      </c>
      <c r="E138" s="4" t="s">
        <v>271</v>
      </c>
      <c r="F138" s="22" t="n">
        <f aca="false">IF(E138="Por usuario",Supuestos!$B$7,IF(E138="Por canal",Supuestos!$B$8,1))</f>
        <v>1</v>
      </c>
      <c r="G138" s="23" t="n">
        <f aca="false">D138*F138</f>
        <v>159</v>
      </c>
      <c r="H138" s="24" t="s">
        <v>257</v>
      </c>
      <c r="I138" s="4"/>
      <c r="J138" s="24" t="s">
        <v>527</v>
      </c>
      <c r="K138" s="25" t="s">
        <v>260</v>
      </c>
    </row>
    <row r="139" customFormat="false" ht="15" hidden="false" customHeight="false" outlineLevel="0" collapsed="false">
      <c r="A139" s="4" t="s">
        <v>209</v>
      </c>
      <c r="B139" s="4" t="s">
        <v>529</v>
      </c>
      <c r="C139" s="4" t="s">
        <v>284</v>
      </c>
      <c r="D139" s="21" t="n">
        <v>9</v>
      </c>
      <c r="E139" s="4" t="s">
        <v>271</v>
      </c>
      <c r="F139" s="22" t="n">
        <f aca="false">IF(E139="Por usuario",Supuestos!$B$7,IF(E139="Por canal",Supuestos!$B$8,1))</f>
        <v>1</v>
      </c>
      <c r="G139" s="23" t="n">
        <f aca="false">D139*F139</f>
        <v>9</v>
      </c>
      <c r="H139" s="24" t="s">
        <v>257</v>
      </c>
      <c r="I139" s="4"/>
      <c r="J139" s="24" t="s">
        <v>530</v>
      </c>
      <c r="K139" s="26" t="s">
        <v>274</v>
      </c>
    </row>
    <row r="140" customFormat="false" ht="15" hidden="false" customHeight="false" outlineLevel="0" collapsed="false">
      <c r="A140" s="4" t="s">
        <v>209</v>
      </c>
      <c r="B140" s="4" t="s">
        <v>529</v>
      </c>
      <c r="C140" s="4" t="s">
        <v>352</v>
      </c>
      <c r="D140" s="21" t="n">
        <v>24</v>
      </c>
      <c r="E140" s="4" t="s">
        <v>271</v>
      </c>
      <c r="F140" s="22" t="n">
        <f aca="false">IF(E140="Por usuario",Supuestos!$B$7,IF(E140="Por canal",Supuestos!$B$8,1))</f>
        <v>1</v>
      </c>
      <c r="G140" s="23" t="n">
        <f aca="false">D140*F140</f>
        <v>24</v>
      </c>
      <c r="H140" s="24" t="s">
        <v>257</v>
      </c>
      <c r="I140" s="4"/>
      <c r="J140" s="24" t="s">
        <v>530</v>
      </c>
      <c r="K140" s="26" t="s">
        <v>274</v>
      </c>
    </row>
    <row r="141" customFormat="false" ht="15" hidden="false" customHeight="false" outlineLevel="0" collapsed="false">
      <c r="A141" s="4" t="s">
        <v>209</v>
      </c>
      <c r="B141" s="4" t="s">
        <v>531</v>
      </c>
      <c r="C141" s="4" t="s">
        <v>270</v>
      </c>
      <c r="D141" s="21" t="n">
        <v>14</v>
      </c>
      <c r="E141" s="4" t="s">
        <v>271</v>
      </c>
      <c r="F141" s="22" t="n">
        <f aca="false">IF(E141="Por usuario",Supuestos!$B$7,IF(E141="Por canal",Supuestos!$B$8,1))</f>
        <v>1</v>
      </c>
      <c r="G141" s="23" t="n">
        <f aca="false">D141*F141</f>
        <v>14</v>
      </c>
      <c r="H141" s="24" t="s">
        <v>257</v>
      </c>
      <c r="I141" s="4"/>
      <c r="J141" s="24" t="s">
        <v>532</v>
      </c>
      <c r="K141" s="26" t="s">
        <v>274</v>
      </c>
    </row>
    <row r="142" customFormat="false" ht="15" hidden="false" customHeight="false" outlineLevel="0" collapsed="false">
      <c r="A142" s="4" t="s">
        <v>209</v>
      </c>
      <c r="B142" s="4" t="s">
        <v>531</v>
      </c>
      <c r="C142" s="4" t="s">
        <v>276</v>
      </c>
      <c r="D142" s="21" t="n">
        <v>35</v>
      </c>
      <c r="E142" s="4" t="s">
        <v>271</v>
      </c>
      <c r="F142" s="22" t="n">
        <f aca="false">IF(E142="Por usuario",Supuestos!$B$7,IF(E142="Por canal",Supuestos!$B$8,1))</f>
        <v>1</v>
      </c>
      <c r="G142" s="23" t="n">
        <f aca="false">D142*F142</f>
        <v>35</v>
      </c>
      <c r="H142" s="24" t="s">
        <v>257</v>
      </c>
      <c r="I142" s="4"/>
      <c r="J142" s="24" t="s">
        <v>532</v>
      </c>
      <c r="K142" s="26" t="s">
        <v>274</v>
      </c>
    </row>
    <row r="143" customFormat="false" ht="15" hidden="false" customHeight="false" outlineLevel="0" collapsed="false">
      <c r="A143" s="4" t="s">
        <v>209</v>
      </c>
      <c r="B143" s="4" t="s">
        <v>506</v>
      </c>
      <c r="C143" s="4" t="s">
        <v>533</v>
      </c>
      <c r="D143" s="21" t="n">
        <v>300</v>
      </c>
      <c r="E143" s="4" t="s">
        <v>271</v>
      </c>
      <c r="F143" s="22" t="n">
        <f aca="false">IF(E143="Por usuario",Supuestos!$B$7,IF(E143="Por canal",Supuestos!$B$8,1))</f>
        <v>1</v>
      </c>
      <c r="G143" s="23" t="n">
        <f aca="false">D143*F143</f>
        <v>300</v>
      </c>
      <c r="H143" s="24" t="s">
        <v>257</v>
      </c>
      <c r="I143" s="4" t="s">
        <v>534</v>
      </c>
      <c r="J143" s="24" t="s">
        <v>508</v>
      </c>
      <c r="K143" s="25" t="s">
        <v>260</v>
      </c>
    </row>
    <row r="144" customFormat="false" ht="15" hidden="false" customHeight="false" outlineLevel="0" collapsed="false">
      <c r="A144" s="4" t="s">
        <v>218</v>
      </c>
      <c r="B144" s="4" t="s">
        <v>535</v>
      </c>
      <c r="C144" s="4" t="s">
        <v>295</v>
      </c>
      <c r="D144" s="21" t="n">
        <v>49</v>
      </c>
      <c r="E144" s="4" t="s">
        <v>271</v>
      </c>
      <c r="F144" s="22" t="n">
        <f aca="false">IF(E144="Por usuario",Supuestos!$B$7,IF(E144="Por canal",Supuestos!$B$8,1))</f>
        <v>1</v>
      </c>
      <c r="G144" s="23" t="n">
        <f aca="false">D144*F144</f>
        <v>49</v>
      </c>
      <c r="H144" s="24" t="s">
        <v>257</v>
      </c>
      <c r="I144" s="4"/>
      <c r="J144" s="24" t="s">
        <v>536</v>
      </c>
      <c r="K144" s="25" t="s">
        <v>260</v>
      </c>
    </row>
    <row r="145" customFormat="false" ht="15" hidden="false" customHeight="false" outlineLevel="0" collapsed="false">
      <c r="A145" s="4" t="s">
        <v>218</v>
      </c>
      <c r="B145" s="4" t="s">
        <v>535</v>
      </c>
      <c r="C145" s="4" t="s">
        <v>302</v>
      </c>
      <c r="D145" s="21" t="n">
        <v>99</v>
      </c>
      <c r="E145" s="4" t="s">
        <v>271</v>
      </c>
      <c r="F145" s="22" t="n">
        <f aca="false">IF(E145="Por usuario",Supuestos!$B$7,IF(E145="Por canal",Supuestos!$B$8,1))</f>
        <v>1</v>
      </c>
      <c r="G145" s="23" t="n">
        <f aca="false">D145*F145</f>
        <v>99</v>
      </c>
      <c r="H145" s="24" t="s">
        <v>257</v>
      </c>
      <c r="I145" s="4"/>
      <c r="J145" s="24" t="s">
        <v>536</v>
      </c>
      <c r="K145" s="25" t="s">
        <v>260</v>
      </c>
    </row>
    <row r="146" customFormat="false" ht="15" hidden="false" customHeight="false" outlineLevel="0" collapsed="false">
      <c r="A146" s="4" t="s">
        <v>218</v>
      </c>
      <c r="B146" s="4" t="s">
        <v>535</v>
      </c>
      <c r="C146" s="4" t="s">
        <v>352</v>
      </c>
      <c r="D146" s="21" t="n">
        <v>199</v>
      </c>
      <c r="E146" s="4" t="s">
        <v>271</v>
      </c>
      <c r="F146" s="22" t="n">
        <f aca="false">IF(E146="Por usuario",Supuestos!$B$7,IF(E146="Por canal",Supuestos!$B$8,1))</f>
        <v>1</v>
      </c>
      <c r="G146" s="23" t="n">
        <f aca="false">D146*F146</f>
        <v>199</v>
      </c>
      <c r="H146" s="24" t="s">
        <v>257</v>
      </c>
      <c r="I146" s="4"/>
      <c r="J146" s="24" t="s">
        <v>536</v>
      </c>
      <c r="K146" s="25" t="s">
        <v>260</v>
      </c>
    </row>
    <row r="147" customFormat="false" ht="15" hidden="false" customHeight="false" outlineLevel="0" collapsed="false">
      <c r="A147" s="4" t="s">
        <v>218</v>
      </c>
      <c r="B147" s="4" t="s">
        <v>537</v>
      </c>
      <c r="C147" s="4" t="s">
        <v>270</v>
      </c>
      <c r="D147" s="21" t="n">
        <v>50</v>
      </c>
      <c r="E147" s="4" t="s">
        <v>271</v>
      </c>
      <c r="F147" s="22" t="n">
        <f aca="false">IF(E147="Por usuario",Supuestos!$B$7,IF(E147="Por canal",Supuestos!$B$8,1))</f>
        <v>1</v>
      </c>
      <c r="G147" s="23" t="n">
        <f aca="false">D147*F147</f>
        <v>50</v>
      </c>
      <c r="H147" s="24" t="s">
        <v>257</v>
      </c>
      <c r="I147" s="4" t="s">
        <v>538</v>
      </c>
      <c r="J147" s="24" t="s">
        <v>539</v>
      </c>
      <c r="K147" s="25" t="s">
        <v>260</v>
      </c>
    </row>
    <row r="148" customFormat="false" ht="15" hidden="false" customHeight="false" outlineLevel="0" collapsed="false">
      <c r="A148" s="4" t="s">
        <v>218</v>
      </c>
      <c r="B148" s="4" t="s">
        <v>537</v>
      </c>
      <c r="C148" s="4" t="s">
        <v>540</v>
      </c>
      <c r="D148" s="21" t="n">
        <v>260</v>
      </c>
      <c r="E148" s="4" t="s">
        <v>271</v>
      </c>
      <c r="F148" s="22" t="n">
        <f aca="false">IF(E148="Por usuario",Supuestos!$B$7,IF(E148="Por canal",Supuestos!$B$8,1))</f>
        <v>1</v>
      </c>
      <c r="G148" s="23" t="n">
        <f aca="false">D148*F148</f>
        <v>260</v>
      </c>
      <c r="H148" s="24" t="s">
        <v>257</v>
      </c>
      <c r="I148" s="4"/>
      <c r="J148" s="24" t="s">
        <v>539</v>
      </c>
      <c r="K148" s="25" t="s">
        <v>260</v>
      </c>
    </row>
    <row r="149" customFormat="false" ht="15" hidden="false" customHeight="false" outlineLevel="0" collapsed="false">
      <c r="A149" s="4" t="s">
        <v>218</v>
      </c>
      <c r="B149" s="4" t="s">
        <v>541</v>
      </c>
      <c r="C149" s="4" t="s">
        <v>256</v>
      </c>
      <c r="D149" s="21" t="n">
        <v>180</v>
      </c>
      <c r="E149" s="4" t="s">
        <v>271</v>
      </c>
      <c r="F149" s="22" t="n">
        <f aca="false">IF(E149="Por usuario",Supuestos!$B$7,IF(E149="Por canal",Supuestos!$B$8,1))</f>
        <v>1</v>
      </c>
      <c r="G149" s="23" t="n">
        <f aca="false">D149*F149</f>
        <v>180</v>
      </c>
      <c r="H149" s="24" t="s">
        <v>257</v>
      </c>
      <c r="I149" s="4" t="s">
        <v>542</v>
      </c>
      <c r="J149" s="24" t="s">
        <v>543</v>
      </c>
      <c r="K149" s="26" t="s">
        <v>274</v>
      </c>
    </row>
    <row r="150" customFormat="false" ht="15" hidden="false" customHeight="false" outlineLevel="0" collapsed="false">
      <c r="A150" s="4" t="s">
        <v>226</v>
      </c>
      <c r="B150" s="4" t="s">
        <v>544</v>
      </c>
      <c r="C150" s="4" t="s">
        <v>281</v>
      </c>
      <c r="D150" s="21" t="n">
        <v>59</v>
      </c>
      <c r="E150" s="4" t="s">
        <v>271</v>
      </c>
      <c r="F150" s="22" t="n">
        <f aca="false">IF(E150="Por usuario",Supuestos!$B$7,IF(E150="Por canal",Supuestos!$B$8,1))</f>
        <v>1</v>
      </c>
      <c r="G150" s="23" t="n">
        <f aca="false">D150*F150</f>
        <v>59</v>
      </c>
      <c r="H150" s="24" t="s">
        <v>257</v>
      </c>
      <c r="I150" s="4" t="s">
        <v>545</v>
      </c>
      <c r="J150" s="24" t="s">
        <v>546</v>
      </c>
      <c r="K150" s="25" t="s">
        <v>260</v>
      </c>
    </row>
    <row r="151" customFormat="false" ht="15" hidden="false" customHeight="false" outlineLevel="0" collapsed="false">
      <c r="A151" s="4" t="s">
        <v>226</v>
      </c>
      <c r="B151" s="4" t="s">
        <v>547</v>
      </c>
      <c r="C151" s="4" t="s">
        <v>284</v>
      </c>
      <c r="D151" s="21" t="n">
        <v>15</v>
      </c>
      <c r="E151" s="4" t="s">
        <v>271</v>
      </c>
      <c r="F151" s="22" t="n">
        <f aca="false">IF(E151="Por usuario",Supuestos!$B$7,IF(E151="Por canal",Supuestos!$B$8,1))</f>
        <v>1</v>
      </c>
      <c r="G151" s="23" t="n">
        <f aca="false">D151*F151</f>
        <v>15</v>
      </c>
      <c r="H151" s="24" t="s">
        <v>257</v>
      </c>
      <c r="I151" s="4" t="s">
        <v>548</v>
      </c>
      <c r="J151" s="24" t="s">
        <v>549</v>
      </c>
      <c r="K151" s="25" t="s">
        <v>260</v>
      </c>
    </row>
    <row r="152" customFormat="false" ht="15" hidden="false" customHeight="false" outlineLevel="0" collapsed="false">
      <c r="A152" s="4" t="s">
        <v>226</v>
      </c>
      <c r="B152" s="4" t="s">
        <v>550</v>
      </c>
      <c r="C152" s="4" t="s">
        <v>359</v>
      </c>
      <c r="D152" s="21" t="n">
        <v>99</v>
      </c>
      <c r="E152" s="4" t="s">
        <v>271</v>
      </c>
      <c r="F152" s="22" t="n">
        <f aca="false">IF(E152="Por usuario",Supuestos!$B$7,IF(E152="Por canal",Supuestos!$B$8,1))</f>
        <v>1</v>
      </c>
      <c r="G152" s="23" t="n">
        <f aca="false">D152*F152</f>
        <v>99</v>
      </c>
      <c r="H152" s="24" t="s">
        <v>257</v>
      </c>
      <c r="I152" s="4"/>
      <c r="J152" s="24" t="s">
        <v>551</v>
      </c>
      <c r="K152" s="26" t="s">
        <v>274</v>
      </c>
    </row>
    <row r="153" customFormat="false" ht="15" hidden="false" customHeight="false" outlineLevel="0" collapsed="false">
      <c r="A153" s="4" t="s">
        <v>226</v>
      </c>
      <c r="B153" s="4" t="s">
        <v>552</v>
      </c>
      <c r="C153" s="4" t="s">
        <v>553</v>
      </c>
      <c r="D153" s="21" t="n">
        <v>499</v>
      </c>
      <c r="E153" s="4" t="s">
        <v>36</v>
      </c>
      <c r="F153" s="22" t="n">
        <f aca="false">IF(E153="Por usuario",Supuestos!$B$7,IF(E153="Por canal",Supuestos!$B$8,1))</f>
        <v>10</v>
      </c>
      <c r="G153" s="23" t="n">
        <f aca="false">D153*F153</f>
        <v>4990</v>
      </c>
      <c r="H153" s="27" t="s">
        <v>353</v>
      </c>
      <c r="I153" s="4" t="s">
        <v>554</v>
      </c>
      <c r="J153" s="24" t="s">
        <v>549</v>
      </c>
      <c r="K153" s="25" t="s">
        <v>260</v>
      </c>
    </row>
    <row r="154" customFormat="false" ht="15" hidden="false" customHeight="false" outlineLevel="0" collapsed="false">
      <c r="A154" s="4" t="s">
        <v>226</v>
      </c>
      <c r="B154" s="4" t="s">
        <v>555</v>
      </c>
      <c r="C154" s="4" t="s">
        <v>353</v>
      </c>
      <c r="D154" s="21" t="n">
        <v>4167</v>
      </c>
      <c r="E154" s="4" t="s">
        <v>271</v>
      </c>
      <c r="F154" s="22" t="n">
        <f aca="false">IF(E154="Por usuario",Supuestos!$B$7,IF(E154="Por canal",Supuestos!$B$8,1))</f>
        <v>1</v>
      </c>
      <c r="G154" s="23" t="n">
        <f aca="false">D154*F154</f>
        <v>4167</v>
      </c>
      <c r="H154" s="27" t="s">
        <v>353</v>
      </c>
      <c r="I154" s="4" t="s">
        <v>556</v>
      </c>
      <c r="J154" s="24" t="s">
        <v>549</v>
      </c>
      <c r="K154" s="26" t="s">
        <v>274</v>
      </c>
    </row>
    <row r="155" customFormat="false" ht="15" hidden="false" customHeight="false" outlineLevel="0" collapsed="false">
      <c r="A155" s="4" t="s">
        <v>235</v>
      </c>
      <c r="B155" s="4" t="s">
        <v>275</v>
      </c>
      <c r="C155" s="4" t="s">
        <v>276</v>
      </c>
      <c r="D155" s="21" t="n">
        <v>19.99</v>
      </c>
      <c r="E155" s="4" t="s">
        <v>271</v>
      </c>
      <c r="F155" s="22" t="n">
        <f aca="false">IF(E155="Por usuario",Supuestos!$B$7,IF(E155="Por canal",Supuestos!$B$8,1))</f>
        <v>1</v>
      </c>
      <c r="G155" s="23" t="n">
        <f aca="false">D155*F155</f>
        <v>19.99</v>
      </c>
      <c r="H155" s="24" t="s">
        <v>257</v>
      </c>
      <c r="I155" s="4"/>
      <c r="J155" s="24" t="s">
        <v>278</v>
      </c>
      <c r="K155" s="25" t="s">
        <v>260</v>
      </c>
    </row>
    <row r="156" customFormat="false" ht="15" hidden="false" customHeight="false" outlineLevel="0" collapsed="false">
      <c r="A156" s="4" t="s">
        <v>235</v>
      </c>
      <c r="B156" s="4" t="s">
        <v>275</v>
      </c>
      <c r="C156" s="4" t="s">
        <v>262</v>
      </c>
      <c r="D156" s="21" t="n">
        <v>69</v>
      </c>
      <c r="E156" s="4" t="s">
        <v>271</v>
      </c>
      <c r="F156" s="22" t="n">
        <f aca="false">IF(E156="Por usuario",Supuestos!$B$7,IF(E156="Por canal",Supuestos!$B$8,1))</f>
        <v>1</v>
      </c>
      <c r="G156" s="23" t="n">
        <f aca="false">D156*F156</f>
        <v>69</v>
      </c>
      <c r="H156" s="24" t="s">
        <v>257</v>
      </c>
      <c r="I156" s="4"/>
      <c r="J156" s="24" t="s">
        <v>278</v>
      </c>
      <c r="K156" s="25" t="s">
        <v>260</v>
      </c>
    </row>
    <row r="157" customFormat="false" ht="15" hidden="false" customHeight="false" outlineLevel="0" collapsed="false">
      <c r="A157" s="4" t="s">
        <v>235</v>
      </c>
      <c r="B157" s="4" t="s">
        <v>557</v>
      </c>
      <c r="C157" s="4" t="s">
        <v>487</v>
      </c>
      <c r="D157" s="21" t="n">
        <v>9</v>
      </c>
      <c r="E157" s="4" t="s">
        <v>271</v>
      </c>
      <c r="F157" s="22" t="n">
        <f aca="false">IF(E157="Por usuario",Supuestos!$B$7,IF(E157="Por canal",Supuestos!$B$8,1))</f>
        <v>1</v>
      </c>
      <c r="G157" s="23" t="n">
        <f aca="false">D157*F157</f>
        <v>9</v>
      </c>
      <c r="H157" s="24" t="s">
        <v>257</v>
      </c>
      <c r="I157" s="4" t="s">
        <v>558</v>
      </c>
      <c r="J157" s="24" t="s">
        <v>559</v>
      </c>
      <c r="K157" s="25" t="s">
        <v>260</v>
      </c>
    </row>
    <row r="158" customFormat="false" ht="15" hidden="false" customHeight="false" outlineLevel="0" collapsed="false">
      <c r="A158" s="4" t="s">
        <v>235</v>
      </c>
      <c r="B158" s="4" t="s">
        <v>419</v>
      </c>
      <c r="C158" s="4" t="s">
        <v>270</v>
      </c>
      <c r="D158" s="21" t="n">
        <v>24</v>
      </c>
      <c r="E158" s="4" t="s">
        <v>271</v>
      </c>
      <c r="F158" s="22" t="n">
        <f aca="false">IF(E158="Por usuario",Supuestos!$B$7,IF(E158="Por canal",Supuestos!$B$8,1))</f>
        <v>1</v>
      </c>
      <c r="G158" s="23" t="n">
        <f aca="false">D158*F158</f>
        <v>24</v>
      </c>
      <c r="H158" s="24" t="s">
        <v>257</v>
      </c>
      <c r="I158" s="4"/>
      <c r="J158" s="24" t="s">
        <v>421</v>
      </c>
      <c r="K158" s="25" t="s">
        <v>260</v>
      </c>
    </row>
    <row r="160" customFormat="false" ht="15" hidden="false" customHeight="false" outlineLevel="0" collapsed="false">
      <c r="A160" s="28" t="s">
        <v>560</v>
      </c>
    </row>
  </sheetData>
  <autoFilter ref="A4:K1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5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18.55" hidden="false" customHeight="false" outlineLevel="0" collapsed="false">
      <c r="A1" s="1" t="s">
        <v>561</v>
      </c>
    </row>
    <row r="2" customFormat="false" ht="15" hidden="false" customHeight="false" outlineLevel="0" collapsed="false">
      <c r="A2" s="2" t="s">
        <v>562</v>
      </c>
    </row>
    <row r="4" customFormat="false" ht="15" hidden="false" customHeight="false" outlineLevel="0" collapsed="false">
      <c r="A4" s="29" t="s">
        <v>563</v>
      </c>
    </row>
    <row r="5" customFormat="false" ht="33.75" hidden="false" customHeight="true" outlineLevel="0" collapsed="false">
      <c r="A5" s="9" t="s">
        <v>564</v>
      </c>
      <c r="B5" s="9" t="s">
        <v>565</v>
      </c>
      <c r="C5" s="9" t="s">
        <v>566</v>
      </c>
      <c r="D5" s="9" t="s">
        <v>567</v>
      </c>
    </row>
    <row r="6" customFormat="false" ht="15" hidden="false" customHeight="false" outlineLevel="0" collapsed="false">
      <c r="A6" s="4" t="s">
        <v>42</v>
      </c>
      <c r="B6" s="30" t="n">
        <f aca="false">'Mapa Competitivo'!J5</f>
        <v>116</v>
      </c>
      <c r="C6" s="30" t="n">
        <f aca="false">'Mapa Competitivo'!H5</f>
        <v>210</v>
      </c>
      <c r="D6" s="31" t="n">
        <f aca="false">IF(C6=0,0,B6/C6-1)</f>
        <v>-0.447619047619048</v>
      </c>
    </row>
    <row r="7" customFormat="false" ht="15" hidden="false" customHeight="false" outlineLevel="0" collapsed="false">
      <c r="A7" s="4" t="s">
        <v>51</v>
      </c>
      <c r="B7" s="30" t="n">
        <f aca="false">'Mapa Competitivo'!J6</f>
        <v>46</v>
      </c>
      <c r="C7" s="30" t="n">
        <f aca="false">'Mapa Competitivo'!H6</f>
        <v>84.495</v>
      </c>
      <c r="D7" s="31" t="n">
        <f aca="false">IF(C7=0,0,B7/C7-1)</f>
        <v>-0.455589088111723</v>
      </c>
    </row>
    <row r="8" customFormat="false" ht="15" hidden="false" customHeight="false" outlineLevel="0" collapsed="false">
      <c r="A8" s="4" t="s">
        <v>60</v>
      </c>
      <c r="B8" s="30" t="n">
        <f aca="false">'Mapa Competitivo'!J7</f>
        <v>66</v>
      </c>
      <c r="C8" s="30" t="n">
        <f aca="false">'Mapa Competitivo'!H7</f>
        <v>120</v>
      </c>
      <c r="D8" s="31" t="n">
        <f aca="false">IF(C8=0,0,B8/C8-1)</f>
        <v>-0.45</v>
      </c>
    </row>
    <row r="9" customFormat="false" ht="15" hidden="false" customHeight="false" outlineLevel="0" collapsed="false">
      <c r="A9" s="4" t="s">
        <v>69</v>
      </c>
      <c r="B9" s="30" t="n">
        <f aca="false">'Mapa Competitivo'!J8</f>
        <v>110</v>
      </c>
      <c r="C9" s="30" t="n">
        <f aca="false">'Mapa Competitivo'!H8</f>
        <v>200</v>
      </c>
      <c r="D9" s="31" t="n">
        <f aca="false">IF(C9=0,0,B9/C9-1)</f>
        <v>-0.45</v>
      </c>
    </row>
    <row r="10" customFormat="false" ht="15" hidden="false" customHeight="false" outlineLevel="0" collapsed="false">
      <c r="A10" s="4" t="s">
        <v>77</v>
      </c>
      <c r="B10" s="30" t="n">
        <f aca="false">'Mapa Competitivo'!J9</f>
        <v>109</v>
      </c>
      <c r="C10" s="30" t="n">
        <f aca="false">'Mapa Competitivo'!H9</f>
        <v>199</v>
      </c>
      <c r="D10" s="31" t="n">
        <f aca="false">IF(C10=0,0,B10/C10-1)</f>
        <v>-0.452261306532663</v>
      </c>
    </row>
    <row r="11" customFormat="false" ht="15" hidden="false" customHeight="false" outlineLevel="0" collapsed="false">
      <c r="A11" s="4" t="s">
        <v>86</v>
      </c>
      <c r="B11" s="30" t="n">
        <f aca="false">'Mapa Competitivo'!J10</f>
        <v>40</v>
      </c>
      <c r="C11" s="30" t="n">
        <f aca="false">'Mapa Competitivo'!H10</f>
        <v>72.5</v>
      </c>
      <c r="D11" s="31" t="n">
        <f aca="false">IF(C11=0,0,B11/C11-1)</f>
        <v>-0.448275862068966</v>
      </c>
    </row>
    <row r="12" customFormat="false" ht="15" hidden="false" customHeight="false" outlineLevel="0" collapsed="false">
      <c r="A12" s="4" t="s">
        <v>93</v>
      </c>
      <c r="B12" s="30" t="n">
        <f aca="false">'Mapa Competitivo'!J11</f>
        <v>66</v>
      </c>
      <c r="C12" s="30" t="n">
        <f aca="false">'Mapa Competitivo'!H11</f>
        <v>120</v>
      </c>
      <c r="D12" s="31" t="n">
        <f aca="false">IF(C12=0,0,B12/C12-1)</f>
        <v>-0.45</v>
      </c>
    </row>
    <row r="13" customFormat="false" ht="15" hidden="false" customHeight="false" outlineLevel="0" collapsed="false">
      <c r="A13" s="4" t="s">
        <v>101</v>
      </c>
      <c r="B13" s="30" t="n">
        <f aca="false">'Mapa Competitivo'!J12</f>
        <v>55</v>
      </c>
      <c r="C13" s="30" t="n">
        <f aca="false">'Mapa Competitivo'!H12</f>
        <v>100</v>
      </c>
      <c r="D13" s="31" t="n">
        <f aca="false">IF(C13=0,0,B13/C13-1)</f>
        <v>-0.45</v>
      </c>
    </row>
    <row r="14" customFormat="false" ht="15" hidden="false" customHeight="false" outlineLevel="0" collapsed="false">
      <c r="A14" s="4" t="s">
        <v>110</v>
      </c>
      <c r="B14" s="30" t="n">
        <f aca="false">'Mapa Competitivo'!J13</f>
        <v>66</v>
      </c>
      <c r="C14" s="30" t="n">
        <f aca="false">'Mapa Competitivo'!H13</f>
        <v>120</v>
      </c>
      <c r="D14" s="31" t="n">
        <f aca="false">IF(C14=0,0,B14/C14-1)</f>
        <v>-0.45</v>
      </c>
    </row>
    <row r="15" customFormat="false" ht="15" hidden="false" customHeight="false" outlineLevel="0" collapsed="false">
      <c r="A15" s="4" t="s">
        <v>117</v>
      </c>
      <c r="B15" s="30" t="n">
        <f aca="false">'Mapa Competitivo'!J14</f>
        <v>132</v>
      </c>
      <c r="C15" s="30" t="n">
        <f aca="false">'Mapa Competitivo'!H14</f>
        <v>240</v>
      </c>
      <c r="D15" s="31" t="n">
        <f aca="false">IF(C15=0,0,B15/C15-1)</f>
        <v>-0.45</v>
      </c>
    </row>
    <row r="16" customFormat="false" ht="15" hidden="false" customHeight="false" outlineLevel="0" collapsed="false">
      <c r="A16" s="4" t="s">
        <v>125</v>
      </c>
      <c r="B16" s="30" t="n">
        <f aca="false">'Mapa Competitivo'!J15</f>
        <v>55</v>
      </c>
      <c r="C16" s="30" t="n">
        <f aca="false">'Mapa Competitivo'!H15</f>
        <v>99.5</v>
      </c>
      <c r="D16" s="31" t="n">
        <f aca="false">IF(C16=0,0,B16/C16-1)</f>
        <v>-0.447236180904523</v>
      </c>
    </row>
    <row r="17" customFormat="false" ht="15" hidden="false" customHeight="false" outlineLevel="0" collapsed="false">
      <c r="A17" s="4" t="s">
        <v>134</v>
      </c>
      <c r="B17" s="30" t="n">
        <f aca="false">'Mapa Competitivo'!J16</f>
        <v>34</v>
      </c>
      <c r="C17" s="30" t="n">
        <f aca="false">'Mapa Competitivo'!H16</f>
        <v>62</v>
      </c>
      <c r="D17" s="31" t="n">
        <f aca="false">IF(C17=0,0,B17/C17-1)</f>
        <v>-0.451612903225807</v>
      </c>
    </row>
    <row r="18" customFormat="false" ht="15" hidden="false" customHeight="false" outlineLevel="0" collapsed="false">
      <c r="A18" s="4" t="s">
        <v>142</v>
      </c>
      <c r="B18" s="30" t="n">
        <f aca="false">'Mapa Competitivo'!J17</f>
        <v>27</v>
      </c>
      <c r="C18" s="30" t="n">
        <f aca="false">'Mapa Competitivo'!H17</f>
        <v>49.5</v>
      </c>
      <c r="D18" s="31" t="n">
        <f aca="false">IF(C18=0,0,B18/C18-1)</f>
        <v>-0.454545454545455</v>
      </c>
    </row>
    <row r="19" customFormat="false" ht="15" hidden="false" customHeight="false" outlineLevel="0" collapsed="false">
      <c r="A19" s="4" t="s">
        <v>150</v>
      </c>
      <c r="B19" s="30" t="n">
        <f aca="false">'Mapa Competitivo'!J18</f>
        <v>297</v>
      </c>
      <c r="C19" s="30" t="n">
        <f aca="false">'Mapa Competitivo'!H18</f>
        <v>540</v>
      </c>
      <c r="D19" s="31" t="n">
        <f aca="false">IF(C19=0,0,B19/C19-1)</f>
        <v>-0.45</v>
      </c>
    </row>
    <row r="20" customFormat="false" ht="15" hidden="false" customHeight="false" outlineLevel="0" collapsed="false">
      <c r="A20" s="4" t="s">
        <v>159</v>
      </c>
      <c r="B20" s="30" t="n">
        <f aca="false">'Mapa Competitivo'!J19</f>
        <v>28</v>
      </c>
      <c r="C20" s="30" t="n">
        <f aca="false">'Mapa Competitivo'!H19</f>
        <v>50</v>
      </c>
      <c r="D20" s="31" t="n">
        <f aca="false">IF(C20=0,0,B20/C20-1)</f>
        <v>-0.44</v>
      </c>
    </row>
    <row r="21" customFormat="false" ht="15" hidden="false" customHeight="false" outlineLevel="0" collapsed="false">
      <c r="A21" s="4" t="s">
        <v>167</v>
      </c>
      <c r="B21" s="30" t="n">
        <f aca="false">'Mapa Competitivo'!J20</f>
        <v>61</v>
      </c>
      <c r="C21" s="30" t="n">
        <f aca="false">'Mapa Competitivo'!H20</f>
        <v>110</v>
      </c>
      <c r="D21" s="31" t="n">
        <f aca="false">IF(C21=0,0,B21/C21-1)</f>
        <v>-0.445454545454545</v>
      </c>
    </row>
    <row r="22" customFormat="false" ht="15" hidden="false" customHeight="false" outlineLevel="0" collapsed="false">
      <c r="A22" s="4" t="s">
        <v>176</v>
      </c>
      <c r="B22" s="30" t="n">
        <f aca="false">'Mapa Competitivo'!J21</f>
        <v>57</v>
      </c>
      <c r="C22" s="30" t="n">
        <f aca="false">'Mapa Competitivo'!H21</f>
        <v>104.5</v>
      </c>
      <c r="D22" s="31" t="n">
        <f aca="false">IF(C22=0,0,B22/C22-1)</f>
        <v>-0.454545454545455</v>
      </c>
    </row>
    <row r="23" customFormat="false" ht="15" hidden="false" customHeight="false" outlineLevel="0" collapsed="false">
      <c r="A23" s="4" t="s">
        <v>185</v>
      </c>
      <c r="B23" s="30" t="n">
        <f aca="false">'Mapa Competitivo'!J22</f>
        <v>215</v>
      </c>
      <c r="C23" s="30" t="n">
        <f aca="false">'Mapa Competitivo'!H22</f>
        <v>390</v>
      </c>
      <c r="D23" s="31" t="n">
        <f aca="false">IF(C23=0,0,B23/C23-1)</f>
        <v>-0.448717948717949</v>
      </c>
    </row>
    <row r="24" customFormat="false" ht="15" hidden="false" customHeight="false" outlineLevel="0" collapsed="false">
      <c r="A24" s="4" t="s">
        <v>193</v>
      </c>
      <c r="B24" s="30" t="n">
        <f aca="false">'Mapa Competitivo'!J23</f>
        <v>274</v>
      </c>
      <c r="C24" s="30" t="n">
        <f aca="false">'Mapa Competitivo'!H23</f>
        <v>499</v>
      </c>
      <c r="D24" s="31" t="n">
        <f aca="false">IF(C24=0,0,B24/C24-1)</f>
        <v>-0.450901803607214</v>
      </c>
    </row>
    <row r="25" customFormat="false" ht="15" hidden="false" customHeight="false" outlineLevel="0" collapsed="false">
      <c r="A25" s="4" t="s">
        <v>201</v>
      </c>
      <c r="B25" s="30" t="n">
        <f aca="false">'Mapa Competitivo'!J24</f>
        <v>58</v>
      </c>
      <c r="C25" s="30" t="n">
        <f aca="false">'Mapa Competitivo'!H24</f>
        <v>105</v>
      </c>
      <c r="D25" s="31" t="n">
        <f aca="false">IF(C25=0,0,B25/C25-1)</f>
        <v>-0.447619047619048</v>
      </c>
    </row>
    <row r="26" customFormat="false" ht="15" hidden="false" customHeight="false" outlineLevel="0" collapsed="false">
      <c r="A26" s="4" t="s">
        <v>209</v>
      </c>
      <c r="B26" s="30" t="n">
        <f aca="false">'Mapa Competitivo'!J25</f>
        <v>13</v>
      </c>
      <c r="C26" s="30" t="n">
        <f aca="false">'Mapa Competitivo'!H25</f>
        <v>24</v>
      </c>
      <c r="D26" s="31" t="n">
        <f aca="false">IF(C26=0,0,B26/C26-1)</f>
        <v>-0.458333333333333</v>
      </c>
    </row>
    <row r="27" customFormat="false" ht="15" hidden="false" customHeight="false" outlineLevel="0" collapsed="false">
      <c r="A27" s="4" t="s">
        <v>218</v>
      </c>
      <c r="B27" s="30" t="n">
        <f aca="false">'Mapa Competitivo'!J26</f>
        <v>77</v>
      </c>
      <c r="C27" s="30" t="n">
        <f aca="false">'Mapa Competitivo'!H26</f>
        <v>139.5</v>
      </c>
      <c r="D27" s="31" t="n">
        <f aca="false">IF(C27=0,0,B27/C27-1)</f>
        <v>-0.448028673835125</v>
      </c>
    </row>
    <row r="28" customFormat="false" ht="15" hidden="false" customHeight="false" outlineLevel="0" collapsed="false">
      <c r="A28" s="4" t="s">
        <v>226</v>
      </c>
      <c r="B28" s="30" t="n">
        <f aca="false">'Mapa Competitivo'!J27</f>
        <v>32</v>
      </c>
      <c r="C28" s="30" t="n">
        <f aca="false">'Mapa Competitivo'!H27</f>
        <v>59</v>
      </c>
      <c r="D28" s="31" t="n">
        <f aca="false">IF(C28=0,0,B28/C28-1)</f>
        <v>-0.457627118644068</v>
      </c>
    </row>
    <row r="29" customFormat="false" ht="15" hidden="false" customHeight="false" outlineLevel="0" collapsed="false">
      <c r="A29" s="4" t="s">
        <v>235</v>
      </c>
      <c r="B29" s="30" t="n">
        <f aca="false">'Mapa Competitivo'!J28</f>
        <v>12</v>
      </c>
      <c r="C29" s="30" t="n">
        <f aca="false">'Mapa Competitivo'!H28</f>
        <v>21.995</v>
      </c>
      <c r="D29" s="31" t="n">
        <f aca="false">IF(C29=0,0,B29/C29-1)</f>
        <v>-0.454421459422596</v>
      </c>
    </row>
    <row r="30" customFormat="false" ht="15" hidden="false" customHeight="false" outlineLevel="0" collapsed="false">
      <c r="A30" s="32" t="s">
        <v>568</v>
      </c>
      <c r="B30" s="33" t="n">
        <f aca="false">SUM(B6:B29)</f>
        <v>2046</v>
      </c>
      <c r="C30" s="33" t="n">
        <f aca="false">SUM(C6:C29)</f>
        <v>3719.99</v>
      </c>
      <c r="D30" s="34" t="n">
        <f aca="false">IF(C30=0,0,B30/C30-1)</f>
        <v>-0.449998521501402</v>
      </c>
    </row>
    <row r="33" customFormat="false" ht="15" hidden="false" customHeight="false" outlineLevel="0" collapsed="false">
      <c r="A33" s="29" t="s">
        <v>569</v>
      </c>
    </row>
    <row r="34" customFormat="false" ht="33.75" hidden="false" customHeight="true" outlineLevel="0" collapsed="false">
      <c r="A34" s="9" t="s">
        <v>570</v>
      </c>
      <c r="B34" s="9" t="s">
        <v>571</v>
      </c>
      <c r="C34" s="9" t="s">
        <v>572</v>
      </c>
      <c r="D34" s="9" t="s">
        <v>573</v>
      </c>
      <c r="E34" s="9" t="s">
        <v>574</v>
      </c>
      <c r="F34" s="9" t="s">
        <v>575</v>
      </c>
      <c r="G34" s="9" t="s">
        <v>36</v>
      </c>
      <c r="H34" s="9" t="s">
        <v>576</v>
      </c>
      <c r="I34" s="9" t="s">
        <v>577</v>
      </c>
    </row>
    <row r="35" customFormat="false" ht="33.75" hidden="false" customHeight="true" outlineLevel="0" collapsed="false">
      <c r="A35" s="11" t="s">
        <v>487</v>
      </c>
      <c r="B35" s="12" t="s">
        <v>578</v>
      </c>
      <c r="C35" s="12" t="s">
        <v>579</v>
      </c>
      <c r="D35" s="35" t="n">
        <f aca="false">B6+B9+B14+B11+B10+B29</f>
        <v>453</v>
      </c>
      <c r="E35" s="36" t="n">
        <v>0.55</v>
      </c>
      <c r="F35" s="14" t="n">
        <f aca="false">ROUND(D35*(1-E35),0)</f>
        <v>204</v>
      </c>
      <c r="G35" s="37" t="n">
        <f aca="false">ROUND(F35/Supuestos!$B$7,1)</f>
        <v>20.4</v>
      </c>
      <c r="H35" s="35" t="n">
        <f aca="false">ROUND(F35*12*(1-Supuestos!$B$10),0)</f>
        <v>1958</v>
      </c>
      <c r="I35" s="35" t="n">
        <f aca="false">D35*12-H35</f>
        <v>3478</v>
      </c>
    </row>
    <row r="36" customFormat="false" ht="33.75" hidden="false" customHeight="true" outlineLevel="0" collapsed="false">
      <c r="A36" s="11" t="s">
        <v>270</v>
      </c>
      <c r="B36" s="12" t="s">
        <v>580</v>
      </c>
      <c r="C36" s="12" t="s">
        <v>581</v>
      </c>
      <c r="D36" s="35" t="n">
        <f aca="false">B6+B9+B14+B11+B10+B29+B12+B18</f>
        <v>546</v>
      </c>
      <c r="E36" s="36" t="n">
        <v>0.55</v>
      </c>
      <c r="F36" s="14" t="n">
        <f aca="false">ROUND(D36*(1-E36),0)</f>
        <v>246</v>
      </c>
      <c r="G36" s="37" t="n">
        <f aca="false">ROUND(F36/Supuestos!$B$7,1)</f>
        <v>24.6</v>
      </c>
      <c r="H36" s="35" t="n">
        <f aca="false">ROUND(F36*12*(1-Supuestos!$B$10),0)</f>
        <v>2362</v>
      </c>
      <c r="I36" s="35" t="n">
        <f aca="false">D36*12-H36</f>
        <v>4190</v>
      </c>
    </row>
    <row r="37" customFormat="false" ht="33.75" hidden="false" customHeight="true" outlineLevel="0" collapsed="false">
      <c r="A37" s="11" t="s">
        <v>256</v>
      </c>
      <c r="B37" s="12" t="s">
        <v>582</v>
      </c>
      <c r="C37" s="12" t="s">
        <v>583</v>
      </c>
      <c r="D37" s="35" t="n">
        <f aca="false">B6+B9+B14+B11+B10+B29+B12+B18+B13+B19+B20+B21+B15+B7</f>
        <v>1165</v>
      </c>
      <c r="E37" s="36" t="n">
        <v>0.6</v>
      </c>
      <c r="F37" s="14" t="n">
        <f aca="false">ROUND(D37*(1-E37),0)</f>
        <v>466</v>
      </c>
      <c r="G37" s="37" t="n">
        <f aca="false">ROUND(F37/Supuestos!$B$7,1)</f>
        <v>46.6</v>
      </c>
      <c r="H37" s="35" t="n">
        <f aca="false">ROUND(F37*12*(1-Supuestos!$B$10),0)</f>
        <v>4474</v>
      </c>
      <c r="I37" s="35" t="n">
        <f aca="false">D37*12-H37</f>
        <v>9506</v>
      </c>
    </row>
    <row r="38" customFormat="false" ht="33.75" hidden="false" customHeight="true" outlineLevel="0" collapsed="false">
      <c r="A38" s="11" t="s">
        <v>353</v>
      </c>
      <c r="B38" s="12" t="s">
        <v>584</v>
      </c>
      <c r="C38" s="12" t="s">
        <v>585</v>
      </c>
      <c r="D38" s="35" t="n">
        <f aca="false">B6+B7+B8+B9+B10+B11+B12+B13+B14+B15+B16+B17+B18+B19+B20+B21+B22+B23+B24+B25+B26+B27+B28+B29</f>
        <v>2046</v>
      </c>
      <c r="E38" s="36" t="n">
        <v>0.62</v>
      </c>
      <c r="F38" s="14" t="n">
        <f aca="false">ROUND(D38*(1-E38),0)</f>
        <v>777</v>
      </c>
      <c r="G38" s="37" t="n">
        <f aca="false">ROUND(F38/Supuestos!$B$7,1)</f>
        <v>77.7</v>
      </c>
      <c r="H38" s="35" t="n">
        <f aca="false">ROUND(F38*12*(1-Supuestos!$B$10),0)</f>
        <v>7459</v>
      </c>
      <c r="I38" s="35" t="n">
        <f aca="false">D38*12-H38</f>
        <v>17093</v>
      </c>
    </row>
    <row r="41" customFormat="false" ht="15" hidden="false" customHeight="false" outlineLevel="0" collapsed="false">
      <c r="A41" s="29" t="s">
        <v>586</v>
      </c>
    </row>
    <row r="42" customFormat="false" ht="33.75" hidden="false" customHeight="true" outlineLevel="0" collapsed="false">
      <c r="A42" s="9" t="s">
        <v>570</v>
      </c>
      <c r="B42" s="9" t="s">
        <v>571</v>
      </c>
      <c r="C42" s="9" t="s">
        <v>572</v>
      </c>
      <c r="D42" s="9" t="s">
        <v>573</v>
      </c>
      <c r="E42" s="9" t="s">
        <v>574</v>
      </c>
      <c r="F42" s="9" t="s">
        <v>575</v>
      </c>
      <c r="G42" s="9" t="s">
        <v>36</v>
      </c>
      <c r="H42" s="9" t="s">
        <v>576</v>
      </c>
      <c r="I42" s="9" t="s">
        <v>577</v>
      </c>
    </row>
    <row r="43" customFormat="false" ht="33.75" hidden="false" customHeight="true" outlineLevel="0" collapsed="false">
      <c r="A43" s="11" t="s">
        <v>587</v>
      </c>
      <c r="B43" s="12" t="s">
        <v>588</v>
      </c>
      <c r="C43" s="12" t="s">
        <v>589</v>
      </c>
      <c r="D43" s="35" t="n">
        <f aca="false">B19+B18+B8+B20+B21</f>
        <v>479</v>
      </c>
      <c r="E43" s="36" t="n">
        <v>0.45</v>
      </c>
      <c r="F43" s="14" t="n">
        <f aca="false">ROUND(D43*(1-E43),0)</f>
        <v>263</v>
      </c>
      <c r="G43" s="37" t="n">
        <f aca="false">ROUND(F43/Supuestos!$B$7,1)</f>
        <v>26.3</v>
      </c>
      <c r="H43" s="35" t="n">
        <f aca="false">ROUND(F43*12*(1-Supuestos!$B$10),0)</f>
        <v>2525</v>
      </c>
      <c r="I43" s="35" t="n">
        <f aca="false">D43*12-H43</f>
        <v>3223</v>
      </c>
    </row>
    <row r="44" customFormat="false" ht="33.75" hidden="false" customHeight="true" outlineLevel="0" collapsed="false">
      <c r="A44" s="11" t="s">
        <v>590</v>
      </c>
      <c r="B44" s="12" t="s">
        <v>591</v>
      </c>
      <c r="C44" s="12" t="s">
        <v>592</v>
      </c>
      <c r="D44" s="35" t="n">
        <f aca="false">B12+B13+B16+B15+B14</f>
        <v>374</v>
      </c>
      <c r="E44" s="36" t="n">
        <v>0.45</v>
      </c>
      <c r="F44" s="14" t="n">
        <f aca="false">ROUND(D44*(1-E44),0)</f>
        <v>206</v>
      </c>
      <c r="G44" s="37" t="n">
        <f aca="false">ROUND(F44/Supuestos!$B$7,1)</f>
        <v>20.6</v>
      </c>
      <c r="H44" s="35" t="n">
        <f aca="false">ROUND(F44*12*(1-Supuestos!$B$10),0)</f>
        <v>1978</v>
      </c>
      <c r="I44" s="35" t="n">
        <f aca="false">D44*12-H44</f>
        <v>2510</v>
      </c>
    </row>
    <row r="45" customFormat="false" ht="33.75" hidden="false" customHeight="true" outlineLevel="0" collapsed="false">
      <c r="A45" s="11" t="s">
        <v>593</v>
      </c>
      <c r="B45" s="12" t="s">
        <v>594</v>
      </c>
      <c r="C45" s="12" t="s">
        <v>595</v>
      </c>
      <c r="D45" s="35" t="n">
        <f aca="false">B24+B25+B26+B8+B21</f>
        <v>472</v>
      </c>
      <c r="E45" s="36" t="n">
        <v>0.45</v>
      </c>
      <c r="F45" s="14" t="n">
        <f aca="false">ROUND(D45*(1-E45),0)</f>
        <v>260</v>
      </c>
      <c r="G45" s="37" t="n">
        <f aca="false">ROUND(F45/Supuestos!$B$7,1)</f>
        <v>26</v>
      </c>
      <c r="H45" s="35" t="n">
        <f aca="false">ROUND(F45*12*(1-Supuestos!$B$10),0)</f>
        <v>2496</v>
      </c>
      <c r="I45" s="35" t="n">
        <f aca="false">D45*12-H45</f>
        <v>3168</v>
      </c>
    </row>
    <row r="46" customFormat="false" ht="33.75" hidden="false" customHeight="true" outlineLevel="0" collapsed="false">
      <c r="A46" s="11" t="s">
        <v>596</v>
      </c>
      <c r="B46" s="12" t="s">
        <v>597</v>
      </c>
      <c r="C46" s="12" t="s">
        <v>598</v>
      </c>
      <c r="D46" s="35" t="n">
        <f aca="false">B6+B7+B17+B8+B10</f>
        <v>371</v>
      </c>
      <c r="E46" s="36" t="n">
        <v>0.45</v>
      </c>
      <c r="F46" s="14" t="n">
        <f aca="false">ROUND(D46*(1-E46),0)</f>
        <v>204</v>
      </c>
      <c r="G46" s="37" t="n">
        <f aca="false">ROUND(F46/Supuestos!$B$7,1)</f>
        <v>20.4</v>
      </c>
      <c r="H46" s="35" t="n">
        <f aca="false">ROUND(F46*12*(1-Supuestos!$B$10),0)</f>
        <v>1958</v>
      </c>
      <c r="I46" s="35" t="n">
        <f aca="false">D46*12-H46</f>
        <v>2494</v>
      </c>
    </row>
    <row r="47" customFormat="false" ht="33.75" hidden="false" customHeight="true" outlineLevel="0" collapsed="false">
      <c r="A47" s="11" t="s">
        <v>599</v>
      </c>
      <c r="B47" s="12" t="s">
        <v>600</v>
      </c>
      <c r="C47" s="12" t="s">
        <v>601</v>
      </c>
      <c r="D47" s="35" t="n">
        <f aca="false">B27+B15+B13+B9</f>
        <v>374</v>
      </c>
      <c r="E47" s="36" t="n">
        <v>0.45</v>
      </c>
      <c r="F47" s="14" t="n">
        <f aca="false">ROUND(D47*(1-E47),0)</f>
        <v>206</v>
      </c>
      <c r="G47" s="37" t="n">
        <f aca="false">ROUND(F47/Supuestos!$B$7,1)</f>
        <v>20.6</v>
      </c>
      <c r="H47" s="35" t="n">
        <f aca="false">ROUND(F47*12*(1-Supuestos!$B$10),0)</f>
        <v>1978</v>
      </c>
      <c r="I47" s="35" t="n">
        <f aca="false">D47*12-H47</f>
        <v>2510</v>
      </c>
    </row>
    <row r="50" customFormat="false" ht="15" hidden="false" customHeight="false" outlineLevel="0" collapsed="false">
      <c r="A50" s="29" t="s">
        <v>602</v>
      </c>
    </row>
    <row r="51" customFormat="false" ht="33.75" hidden="false" customHeight="true" outlineLevel="0" collapsed="false">
      <c r="A51" s="9" t="s">
        <v>603</v>
      </c>
      <c r="B51" s="9" t="s">
        <v>604</v>
      </c>
      <c r="C51" s="9" t="s">
        <v>247</v>
      </c>
      <c r="D51" s="9" t="s">
        <v>605</v>
      </c>
    </row>
    <row r="52" customFormat="false" ht="15" hidden="false" customHeight="false" outlineLevel="0" collapsed="false">
      <c r="A52" s="4" t="s">
        <v>606</v>
      </c>
      <c r="B52" s="4" t="s">
        <v>312</v>
      </c>
      <c r="C52" s="4" t="s">
        <v>316</v>
      </c>
      <c r="D52" s="30" t="n">
        <f aca="false">'Detalle Competencia'!G26</f>
        <v>140</v>
      </c>
    </row>
    <row r="53" customFormat="false" ht="15" hidden="false" customHeight="false" outlineLevel="0" collapsed="false">
      <c r="A53" s="4" t="s">
        <v>607</v>
      </c>
      <c r="B53" s="4" t="s">
        <v>340</v>
      </c>
      <c r="C53" s="4" t="s">
        <v>284</v>
      </c>
      <c r="D53" s="30" t="n">
        <f aca="false">'Detalle Competencia'!G37</f>
        <v>72.5</v>
      </c>
    </row>
    <row r="54" customFormat="false" ht="15" hidden="false" customHeight="false" outlineLevel="0" collapsed="false">
      <c r="A54" s="4" t="s">
        <v>608</v>
      </c>
      <c r="B54" s="4" t="s">
        <v>355</v>
      </c>
      <c r="C54" s="4" t="s">
        <v>256</v>
      </c>
      <c r="D54" s="30" t="n">
        <f aca="false">'Detalle Competencia'!G46</f>
        <v>120</v>
      </c>
    </row>
    <row r="55" customFormat="false" ht="15" hidden="false" customHeight="false" outlineLevel="0" collapsed="false">
      <c r="A55" s="4" t="s">
        <v>609</v>
      </c>
      <c r="B55" s="4" t="s">
        <v>365</v>
      </c>
      <c r="C55" s="4" t="s">
        <v>284</v>
      </c>
      <c r="D55" s="30" t="n">
        <f aca="false">'Detalle Competencia'!G51</f>
        <v>90</v>
      </c>
    </row>
    <row r="56" customFormat="false" ht="15" hidden="false" customHeight="false" outlineLevel="0" collapsed="false">
      <c r="A56" s="4" t="s">
        <v>610</v>
      </c>
      <c r="B56" s="4" t="s">
        <v>329</v>
      </c>
      <c r="C56" s="4" t="s">
        <v>302</v>
      </c>
      <c r="D56" s="30" t="n">
        <f aca="false">'Detalle Competencia'!G32</f>
        <v>54.2</v>
      </c>
    </row>
    <row r="57" customFormat="false" ht="15" hidden="false" customHeight="false" outlineLevel="0" collapsed="false">
      <c r="A57" s="4" t="s">
        <v>611</v>
      </c>
      <c r="B57" s="4" t="s">
        <v>286</v>
      </c>
      <c r="C57" s="4" t="s">
        <v>281</v>
      </c>
      <c r="D57" s="30" t="n">
        <f aca="false">'Detalle Competencia'!G59</f>
        <v>100</v>
      </c>
    </row>
    <row r="58" customFormat="false" ht="15" hidden="false" customHeight="false" outlineLevel="0" collapsed="false">
      <c r="A58" s="4" t="s">
        <v>612</v>
      </c>
      <c r="B58" s="4" t="s">
        <v>438</v>
      </c>
      <c r="C58" s="4" t="s">
        <v>293</v>
      </c>
      <c r="D58" s="30" t="n">
        <f aca="false">'Detalle Competencia'!G92</f>
        <v>390</v>
      </c>
    </row>
    <row r="59" customFormat="false" ht="15" hidden="false" customHeight="false" outlineLevel="0" collapsed="false">
      <c r="A59" s="4" t="s">
        <v>613</v>
      </c>
      <c r="B59" s="4" t="s">
        <v>455</v>
      </c>
      <c r="C59" s="4" t="s">
        <v>262</v>
      </c>
      <c r="D59" s="30" t="n">
        <f aca="false">'Detalle Competencia'!G104</f>
        <v>50</v>
      </c>
    </row>
    <row r="60" customFormat="false" ht="15" hidden="false" customHeight="false" outlineLevel="0" collapsed="false">
      <c r="A60" s="4" t="s">
        <v>614</v>
      </c>
      <c r="B60" s="4" t="s">
        <v>424</v>
      </c>
      <c r="C60" s="4" t="s">
        <v>359</v>
      </c>
      <c r="D60" s="30" t="n">
        <f aca="false">'Detalle Competencia'!G83</f>
        <v>29</v>
      </c>
    </row>
    <row r="61" customFormat="false" ht="15" hidden="false" customHeight="false" outlineLevel="0" collapsed="false">
      <c r="A61" s="4" t="s">
        <v>615</v>
      </c>
      <c r="B61" s="4" t="s">
        <v>468</v>
      </c>
      <c r="C61" s="4" t="s">
        <v>469</v>
      </c>
      <c r="D61" s="30" t="n">
        <f aca="false">'Detalle Competencia'!G110</f>
        <v>100</v>
      </c>
    </row>
    <row r="62" customFormat="false" ht="15" hidden="false" customHeight="false" outlineLevel="0" collapsed="false">
      <c r="A62" s="4" t="s">
        <v>616</v>
      </c>
      <c r="B62" s="4" t="s">
        <v>290</v>
      </c>
      <c r="C62" s="4" t="s">
        <v>293</v>
      </c>
      <c r="D62" s="30" t="n">
        <f aca="false">'Detalle Competencia'!G17</f>
        <v>49.17</v>
      </c>
    </row>
    <row r="63" customFormat="false" ht="15" hidden="false" customHeight="false" outlineLevel="0" collapsed="false">
      <c r="A63" s="4" t="s">
        <v>617</v>
      </c>
      <c r="B63" s="4" t="s">
        <v>535</v>
      </c>
      <c r="C63" s="4" t="s">
        <v>302</v>
      </c>
      <c r="D63" s="30" t="n">
        <f aca="false">'Detalle Competencia'!G145</f>
        <v>99</v>
      </c>
    </row>
    <row r="64" customFormat="false" ht="15" hidden="false" customHeight="false" outlineLevel="0" collapsed="false">
      <c r="A64" s="4" t="s">
        <v>618</v>
      </c>
      <c r="B64" s="4" t="s">
        <v>388</v>
      </c>
      <c r="C64" s="4" t="s">
        <v>284</v>
      </c>
      <c r="D64" s="30" t="n">
        <f aca="false">'Detalle Competencia'!G66</f>
        <v>140</v>
      </c>
    </row>
    <row r="65" customFormat="false" ht="15" hidden="false" customHeight="false" outlineLevel="0" collapsed="false">
      <c r="A65" s="4" t="s">
        <v>619</v>
      </c>
      <c r="B65" s="4" t="s">
        <v>397</v>
      </c>
      <c r="C65" s="4" t="s">
        <v>256</v>
      </c>
      <c r="D65" s="30" t="n">
        <f aca="false">'Detalle Competencia'!G71</f>
        <v>180</v>
      </c>
    </row>
    <row r="66" customFormat="false" ht="15" hidden="false" customHeight="false" outlineLevel="0" collapsed="false">
      <c r="A66" s="4" t="s">
        <v>620</v>
      </c>
      <c r="B66" s="4" t="s">
        <v>412</v>
      </c>
      <c r="C66" s="4" t="s">
        <v>276</v>
      </c>
      <c r="D66" s="30" t="n">
        <f aca="false">'Detalle Competencia'!G77</f>
        <v>59</v>
      </c>
    </row>
    <row r="67" customFormat="false" ht="15" hidden="false" customHeight="false" outlineLevel="0" collapsed="false">
      <c r="A67" s="4" t="s">
        <v>621</v>
      </c>
      <c r="B67" s="4" t="s">
        <v>480</v>
      </c>
      <c r="C67" s="4" t="s">
        <v>481</v>
      </c>
      <c r="D67" s="30" t="n">
        <f aca="false">'Detalle Competencia'!G114</f>
        <v>29</v>
      </c>
    </row>
    <row r="68" customFormat="false" ht="15" hidden="false" customHeight="false" outlineLevel="0" collapsed="false">
      <c r="A68" s="4" t="s">
        <v>622</v>
      </c>
      <c r="B68" s="4" t="s">
        <v>503</v>
      </c>
      <c r="C68" s="4" t="s">
        <v>302</v>
      </c>
      <c r="D68" s="30" t="n">
        <f aca="false">'Detalle Competencia'!G126</f>
        <v>100</v>
      </c>
    </row>
    <row r="69" customFormat="false" ht="15" hidden="false" customHeight="false" outlineLevel="0" collapsed="false">
      <c r="A69" s="4" t="s">
        <v>623</v>
      </c>
      <c r="B69" s="4" t="s">
        <v>506</v>
      </c>
      <c r="C69" s="4" t="s">
        <v>284</v>
      </c>
      <c r="D69" s="30" t="n">
        <f aca="false">'Detalle Competencia'!G127</f>
        <v>499</v>
      </c>
    </row>
    <row r="70" customFormat="false" ht="15" hidden="false" customHeight="false" outlineLevel="0" collapsed="false">
      <c r="A70" s="4" t="s">
        <v>624</v>
      </c>
      <c r="B70" s="4" t="s">
        <v>519</v>
      </c>
      <c r="C70" s="4" t="s">
        <v>522</v>
      </c>
      <c r="D70" s="30" t="n">
        <f aca="false">'Detalle Competencia'!G133</f>
        <v>105</v>
      </c>
    </row>
    <row r="71" customFormat="false" ht="15" hidden="false" customHeight="false" outlineLevel="0" collapsed="false">
      <c r="A71" s="4" t="s">
        <v>625</v>
      </c>
      <c r="B71" s="4" t="s">
        <v>529</v>
      </c>
      <c r="C71" s="4" t="s">
        <v>352</v>
      </c>
      <c r="D71" s="30" t="n">
        <f aca="false">'Detalle Competencia'!G140</f>
        <v>24</v>
      </c>
    </row>
    <row r="72" customFormat="false" ht="15" hidden="false" customHeight="false" outlineLevel="0" collapsed="false">
      <c r="A72" s="4" t="s">
        <v>626</v>
      </c>
      <c r="B72" s="4" t="s">
        <v>255</v>
      </c>
      <c r="C72" s="4" t="s">
        <v>256</v>
      </c>
      <c r="D72" s="30" t="n">
        <f aca="false">'Detalle Competencia'!G5</f>
        <v>200</v>
      </c>
    </row>
    <row r="73" customFormat="false" ht="15" hidden="false" customHeight="false" outlineLevel="0" collapsed="false">
      <c r="A73" s="4" t="s">
        <v>627</v>
      </c>
      <c r="B73" s="4" t="s">
        <v>275</v>
      </c>
      <c r="C73" s="4" t="s">
        <v>262</v>
      </c>
      <c r="D73" s="30" t="n">
        <f aca="false">'Detalle Competencia'!G11</f>
        <v>69</v>
      </c>
    </row>
    <row r="74" customFormat="false" ht="15" hidden="false" customHeight="false" outlineLevel="0" collapsed="false">
      <c r="A74" s="4" t="s">
        <v>235</v>
      </c>
      <c r="B74" s="4" t="s">
        <v>557</v>
      </c>
      <c r="C74" s="4" t="s">
        <v>487</v>
      </c>
      <c r="D74" s="30" t="n">
        <f aca="false">'Detalle Competencia'!G157</f>
        <v>9</v>
      </c>
    </row>
    <row r="75" customFormat="false" ht="15" hidden="false" customHeight="false" outlineLevel="0" collapsed="false">
      <c r="A75" s="4" t="s">
        <v>628</v>
      </c>
      <c r="B75" s="4" t="s">
        <v>544</v>
      </c>
      <c r="C75" s="4" t="s">
        <v>281</v>
      </c>
      <c r="D75" s="30" t="n">
        <f aca="false">'Detalle Competencia'!G150</f>
        <v>59</v>
      </c>
    </row>
    <row r="76" customFormat="false" ht="15" hidden="false" customHeight="false" outlineLevel="0" collapsed="false">
      <c r="A76" s="32" t="s">
        <v>629</v>
      </c>
      <c r="B76" s="38"/>
      <c r="C76" s="38"/>
      <c r="D76" s="33" t="n">
        <f aca="false">SUM(D52:D75)</f>
        <v>2766.87</v>
      </c>
    </row>
    <row r="78" customFormat="false" ht="15" hidden="false" customHeight="false" outlineLevel="0" collapsed="false">
      <c r="A78" s="39" t="s">
        <v>630</v>
      </c>
      <c r="B78" s="40"/>
      <c r="C78" s="40"/>
      <c r="D78" s="41" t="n">
        <f aca="false">ROUND(D76/Supuestos!$B$7,1)</f>
        <v>276.7</v>
      </c>
    </row>
    <row r="79" customFormat="false" ht="15" hidden="false" customHeight="false" outlineLevel="0" collapsed="false">
      <c r="A79" s="39" t="s">
        <v>631</v>
      </c>
      <c r="B79" s="40"/>
      <c r="C79" s="40"/>
      <c r="D79" s="42" t="n">
        <f aca="false">F38</f>
        <v>777</v>
      </c>
    </row>
    <row r="80" customFormat="false" ht="15" hidden="false" customHeight="false" outlineLevel="0" collapsed="false">
      <c r="A80" s="39" t="s">
        <v>632</v>
      </c>
      <c r="B80" s="40"/>
      <c r="C80" s="40"/>
      <c r="D80" s="41" t="n">
        <f aca="false">G38</f>
        <v>77.7</v>
      </c>
    </row>
    <row r="81" customFormat="false" ht="15" hidden="false" customHeight="false" outlineLevel="0" collapsed="false">
      <c r="A81" s="39" t="s">
        <v>633</v>
      </c>
      <c r="B81" s="40"/>
      <c r="C81" s="40"/>
      <c r="D81" s="43" t="n">
        <f aca="false">F38/D76</f>
        <v>0.280822734714678</v>
      </c>
    </row>
    <row r="82" customFormat="false" ht="15" hidden="false" customHeight="false" outlineLevel="0" collapsed="false">
      <c r="A82" s="39" t="s">
        <v>634</v>
      </c>
      <c r="B82" s="40"/>
      <c r="C82" s="40"/>
      <c r="D82" s="42" t="n">
        <f aca="false">(D76-F38)*12</f>
        <v>23878.44</v>
      </c>
    </row>
    <row r="84" customFormat="false" ht="15" hidden="false" customHeight="false" outlineLevel="0" collapsed="false">
      <c r="A84" s="44" t="s">
        <v>635</v>
      </c>
    </row>
    <row r="85" customFormat="false" ht="15" hidden="false" customHeight="false" outlineLevel="0" collapsed="false">
      <c r="A85" s="44" t="s">
        <v>636</v>
      </c>
    </row>
    <row r="86" customFormat="false" ht="15" hidden="false" customHeight="false" outlineLevel="0" collapsed="false">
      <c r="A86" s="44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62"/>
  </cols>
  <sheetData>
    <row r="1" customFormat="false" ht="18.55" hidden="false" customHeight="false" outlineLevel="0" collapsed="false">
      <c r="A1" s="1" t="s">
        <v>638</v>
      </c>
    </row>
    <row r="2" customFormat="false" ht="15" hidden="false" customHeight="false" outlineLevel="0" collapsed="false">
      <c r="A2" s="2" t="s">
        <v>639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640</v>
      </c>
      <c r="B5" s="45" t="n">
        <v>375570</v>
      </c>
      <c r="C5" s="4" t="s">
        <v>641</v>
      </c>
      <c r="D5" s="4" t="s">
        <v>642</v>
      </c>
    </row>
    <row r="6" customFormat="false" ht="15" hidden="false" customHeight="false" outlineLevel="0" collapsed="false">
      <c r="A6" s="4" t="s">
        <v>643</v>
      </c>
      <c r="B6" s="8" t="n">
        <v>0.22</v>
      </c>
      <c r="C6" s="4" t="s">
        <v>644</v>
      </c>
      <c r="D6" s="4" t="s">
        <v>645</v>
      </c>
    </row>
    <row r="7" customFormat="false" ht="15" hidden="false" customHeight="false" outlineLevel="0" collapsed="false">
      <c r="A7" s="4" t="s">
        <v>646</v>
      </c>
      <c r="B7" s="8" t="n">
        <v>0.45</v>
      </c>
      <c r="C7" s="4" t="s">
        <v>647</v>
      </c>
      <c r="D7" s="4" t="s">
        <v>648</v>
      </c>
    </row>
    <row r="8" customFormat="false" ht="15" hidden="false" customHeight="false" outlineLevel="0" collapsed="false">
      <c r="A8" s="4" t="s">
        <v>649</v>
      </c>
      <c r="B8" s="8" t="n">
        <v>0.55</v>
      </c>
      <c r="C8" s="4" t="s">
        <v>650</v>
      </c>
      <c r="D8" s="4" t="s">
        <v>651</v>
      </c>
    </row>
    <row r="9" customFormat="false" ht="15" hidden="false" customHeight="false" outlineLevel="0" collapsed="false">
      <c r="A9" s="4" t="s">
        <v>652</v>
      </c>
      <c r="B9" s="46" t="n">
        <v>0.04</v>
      </c>
      <c r="C9" s="4" t="s">
        <v>22</v>
      </c>
      <c r="D9" s="4" t="s">
        <v>653</v>
      </c>
    </row>
    <row r="10" customFormat="false" ht="15" hidden="false" customHeight="false" outlineLevel="0" collapsed="false">
      <c r="A10" s="4" t="s">
        <v>654</v>
      </c>
      <c r="B10" s="8" t="n">
        <v>0.75</v>
      </c>
      <c r="C10" s="4" t="s">
        <v>22</v>
      </c>
      <c r="D10" s="4" t="s">
        <v>655</v>
      </c>
    </row>
    <row r="11" customFormat="false" ht="15" hidden="false" customHeight="false" outlineLevel="0" collapsed="false">
      <c r="A11" s="4" t="s">
        <v>656</v>
      </c>
      <c r="B11" s="47" t="n">
        <v>1200</v>
      </c>
      <c r="C11" s="4" t="s">
        <v>7</v>
      </c>
      <c r="D11" s="4" t="s">
        <v>657</v>
      </c>
    </row>
    <row r="12" customFormat="false" ht="15" hidden="false" customHeight="false" outlineLevel="0" collapsed="false">
      <c r="A12" s="4" t="s">
        <v>658</v>
      </c>
      <c r="B12" s="6" t="n">
        <v>550</v>
      </c>
      <c r="C12" s="4" t="s">
        <v>659</v>
      </c>
      <c r="D12" s="4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7" min="5" style="0" width="16"/>
    <col collapsed="false" customWidth="true" hidden="false" outlineLevel="0" max="8" min="8" style="0" width="15"/>
    <col collapsed="false" customWidth="true" hidden="false" outlineLevel="0" max="9" min="9" style="0" width="56"/>
    <col collapsed="false" customWidth="true" hidden="false" outlineLevel="0" max="10" min="10" style="0" width="46"/>
    <col collapsed="false" customWidth="true" hidden="false" outlineLevel="0" max="11" min="11" style="0" width="12"/>
  </cols>
  <sheetData>
    <row r="1" customFormat="false" ht="18.55" hidden="false" customHeight="false" outlineLevel="0" collapsed="false">
      <c r="A1" s="1" t="s">
        <v>661</v>
      </c>
    </row>
    <row r="2" customFormat="false" ht="15" hidden="false" customHeight="false" outlineLevel="0" collapsed="false">
      <c r="A2" s="2" t="s">
        <v>662</v>
      </c>
    </row>
    <row r="4" customFormat="false" ht="33.75" hidden="false" customHeight="true" outlineLevel="0" collapsed="false">
      <c r="A4" s="9" t="s">
        <v>663</v>
      </c>
      <c r="B4" s="9" t="s">
        <v>664</v>
      </c>
      <c r="C4" s="9" t="s">
        <v>665</v>
      </c>
      <c r="D4" s="9" t="s">
        <v>666</v>
      </c>
      <c r="E4" s="9" t="s">
        <v>667</v>
      </c>
      <c r="F4" s="9" t="s">
        <v>668</v>
      </c>
      <c r="G4" s="9" t="s">
        <v>669</v>
      </c>
      <c r="H4" s="9" t="s">
        <v>670</v>
      </c>
      <c r="I4" s="9" t="s">
        <v>671</v>
      </c>
      <c r="J4" s="9" t="s">
        <v>254</v>
      </c>
      <c r="K4" s="9" t="s">
        <v>41</v>
      </c>
    </row>
    <row r="5" customFormat="false" ht="43.5" hidden="false" customHeight="true" outlineLevel="0" collapsed="false">
      <c r="A5" s="11" t="s">
        <v>672</v>
      </c>
      <c r="B5" s="48" t="n">
        <v>172680</v>
      </c>
      <c r="C5" s="49" t="n">
        <v>0.46</v>
      </c>
      <c r="D5" s="49" t="n">
        <v>0.13</v>
      </c>
      <c r="E5" s="50" t="n">
        <f aca="false">B5*'D1 Supuestos Demanda'!$B$6*'D1 Supuestos Demanda'!$B$7</f>
        <v>17095.32</v>
      </c>
      <c r="F5" s="36" t="n">
        <v>0.15</v>
      </c>
      <c r="G5" s="51" t="n">
        <f aca="false">E5*'D1 Supuestos Demanda'!$B$8*F5</f>
        <v>1410.3639</v>
      </c>
      <c r="H5" s="52" t="n">
        <v>1</v>
      </c>
      <c r="I5" s="53" t="s">
        <v>673</v>
      </c>
      <c r="J5" s="54" t="s">
        <v>674</v>
      </c>
      <c r="K5" s="55" t="s">
        <v>260</v>
      </c>
    </row>
    <row r="6" customFormat="false" ht="43.5" hidden="false" customHeight="true" outlineLevel="0" collapsed="false">
      <c r="A6" s="11" t="s">
        <v>675</v>
      </c>
      <c r="B6" s="48" t="n">
        <v>86060</v>
      </c>
      <c r="C6" s="49" t="n">
        <v>0.229</v>
      </c>
      <c r="D6" s="49" t="n">
        <v>0.22</v>
      </c>
      <c r="E6" s="50" t="n">
        <f aca="false">B6*'D1 Supuestos Demanda'!$B$6*'D1 Supuestos Demanda'!$B$7</f>
        <v>8519.94</v>
      </c>
      <c r="F6" s="36" t="n">
        <v>0.1</v>
      </c>
      <c r="G6" s="51" t="n">
        <f aca="false">E6*'D1 Supuestos Demanda'!$B$8*F6</f>
        <v>468.5967</v>
      </c>
      <c r="H6" s="52" t="n">
        <v>0.7</v>
      </c>
      <c r="I6" s="53" t="s">
        <v>676</v>
      </c>
      <c r="J6" s="54" t="s">
        <v>677</v>
      </c>
      <c r="K6" s="55" t="s">
        <v>260</v>
      </c>
    </row>
    <row r="7" customFormat="false" ht="43.5" hidden="false" customHeight="true" outlineLevel="0" collapsed="false">
      <c r="A7" s="11" t="s">
        <v>678</v>
      </c>
      <c r="B7" s="48" t="n">
        <v>70810</v>
      </c>
      <c r="C7" s="49" t="n">
        <v>0.189</v>
      </c>
      <c r="D7" s="49" t="n">
        <v>0.12</v>
      </c>
      <c r="E7" s="50" t="n">
        <f aca="false">B7*'D1 Supuestos Demanda'!$B$6*'D1 Supuestos Demanda'!$B$7</f>
        <v>7010.19</v>
      </c>
      <c r="F7" s="36" t="n">
        <v>0.2</v>
      </c>
      <c r="G7" s="51" t="n">
        <f aca="false">E7*'D1 Supuestos Demanda'!$B$8*F7</f>
        <v>771.1209</v>
      </c>
      <c r="H7" s="52" t="n">
        <v>0.95</v>
      </c>
      <c r="I7" s="53" t="s">
        <v>679</v>
      </c>
      <c r="J7" s="54" t="s">
        <v>674</v>
      </c>
      <c r="K7" s="55" t="s">
        <v>260</v>
      </c>
    </row>
    <row r="8" customFormat="false" ht="43.5" hidden="false" customHeight="true" outlineLevel="0" collapsed="false">
      <c r="A8" s="11" t="s">
        <v>680</v>
      </c>
      <c r="B8" s="48" t="n">
        <v>21000</v>
      </c>
      <c r="C8" s="49" t="n">
        <v>0.056</v>
      </c>
      <c r="D8" s="49" t="n">
        <v>0.148</v>
      </c>
      <c r="E8" s="50" t="n">
        <f aca="false">B8*'D1 Supuestos Demanda'!$B$6*'D1 Supuestos Demanda'!$B$7</f>
        <v>2079</v>
      </c>
      <c r="F8" s="36" t="n">
        <v>0.6</v>
      </c>
      <c r="G8" s="51" t="n">
        <f aca="false">E8*'D1 Supuestos Demanda'!$B$8*F8</f>
        <v>686.07</v>
      </c>
      <c r="H8" s="52" t="n">
        <v>0.6</v>
      </c>
      <c r="I8" s="53" t="s">
        <v>681</v>
      </c>
      <c r="J8" s="54" t="s">
        <v>682</v>
      </c>
      <c r="K8" s="55" t="s">
        <v>260</v>
      </c>
    </row>
    <row r="9" customFormat="false" ht="43.5" hidden="false" customHeight="true" outlineLevel="0" collapsed="false">
      <c r="A9" s="11" t="s">
        <v>683</v>
      </c>
      <c r="B9" s="48" t="n">
        <v>25020</v>
      </c>
      <c r="C9" s="49" t="n">
        <v>0.066</v>
      </c>
      <c r="D9" s="49" t="n">
        <v>0.16</v>
      </c>
      <c r="E9" s="50" t="n">
        <f aca="false">B9*'D1 Supuestos Demanda'!$B$6*'D1 Supuestos Demanda'!$B$7</f>
        <v>2476.98</v>
      </c>
      <c r="F9" s="36" t="n">
        <v>0.05</v>
      </c>
      <c r="G9" s="51" t="n">
        <f aca="false">E9*'D1 Supuestos Demanda'!$B$8*F9</f>
        <v>68.11695</v>
      </c>
      <c r="H9" s="52" t="n">
        <v>0.55</v>
      </c>
      <c r="I9" s="53" t="s">
        <v>684</v>
      </c>
      <c r="J9" s="54" t="s">
        <v>685</v>
      </c>
      <c r="K9" s="56" t="s">
        <v>274</v>
      </c>
    </row>
    <row r="10" customFormat="false" ht="15" hidden="false" customHeight="false" outlineLevel="0" collapsed="false">
      <c r="A10" s="32" t="s">
        <v>686</v>
      </c>
      <c r="B10" s="57" t="n">
        <f aca="false">SUM(B5:B9)</f>
        <v>375570</v>
      </c>
      <c r="C10" s="38"/>
      <c r="D10" s="38"/>
      <c r="E10" s="57" t="n">
        <f aca="false">SUM(E5:E9)</f>
        <v>37181.43</v>
      </c>
      <c r="F10" s="38"/>
      <c r="G10" s="57" t="n">
        <f aca="false">SUM(G5:G9)</f>
        <v>3404.26845</v>
      </c>
      <c r="H10" s="38"/>
      <c r="I10" s="38"/>
      <c r="J10" s="38"/>
      <c r="K10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19"/>
    <col collapsed="false" customWidth="true" hidden="false" outlineLevel="0" max="9" min="9" style="0" width="11"/>
    <col collapsed="false" customWidth="true" hidden="false" outlineLevel="0" max="11" min="10" style="0" width="16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60"/>
    <col collapsed="false" customWidth="true" hidden="false" outlineLevel="0" max="15" min="15" style="0" width="12"/>
  </cols>
  <sheetData>
    <row r="1" customFormat="false" ht="18.55" hidden="false" customHeight="false" outlineLevel="0" collapsed="false">
      <c r="A1" s="1" t="s">
        <v>687</v>
      </c>
    </row>
    <row r="2" customFormat="false" ht="15" hidden="false" customHeight="false" outlineLevel="0" collapsed="false">
      <c r="A2" s="2" t="s">
        <v>688</v>
      </c>
    </row>
    <row r="4" customFormat="false" ht="33.75" hidden="false" customHeight="true" outlineLevel="0" collapsed="false">
      <c r="A4" s="9" t="s">
        <v>689</v>
      </c>
      <c r="B4" s="9" t="s">
        <v>663</v>
      </c>
      <c r="C4" s="9" t="s">
        <v>690</v>
      </c>
      <c r="D4" s="9" t="s">
        <v>691</v>
      </c>
      <c r="E4" s="9" t="s">
        <v>692</v>
      </c>
      <c r="F4" s="9" t="s">
        <v>693</v>
      </c>
      <c r="G4" s="9" t="s">
        <v>664</v>
      </c>
      <c r="H4" s="9" t="s">
        <v>694</v>
      </c>
      <c r="I4" s="9" t="s">
        <v>695</v>
      </c>
      <c r="J4" s="9" t="s">
        <v>667</v>
      </c>
      <c r="K4" s="9" t="s">
        <v>669</v>
      </c>
      <c r="L4" s="9" t="s">
        <v>670</v>
      </c>
      <c r="M4" s="9" t="s">
        <v>696</v>
      </c>
      <c r="N4" s="9" t="s">
        <v>697</v>
      </c>
      <c r="O4" s="9" t="s">
        <v>41</v>
      </c>
    </row>
    <row r="5" customFormat="false" ht="39.75" hidden="false" customHeight="true" outlineLevel="0" collapsed="false">
      <c r="A5" s="11" t="s">
        <v>698</v>
      </c>
      <c r="B5" s="10" t="s">
        <v>672</v>
      </c>
      <c r="C5" s="10" t="s">
        <v>699</v>
      </c>
      <c r="D5" s="58" t="s">
        <v>700</v>
      </c>
      <c r="E5" s="36" t="n">
        <v>0.2</v>
      </c>
      <c r="F5" s="59" t="n">
        <v>0.7935</v>
      </c>
      <c r="G5" s="50" t="n">
        <f aca="false">F5*'D2 Mercado por Region'!B5</f>
        <v>137021.58</v>
      </c>
      <c r="H5" s="60" t="n">
        <v>141060</v>
      </c>
      <c r="I5" s="61" t="n">
        <f aca="false">G5/H5-1</f>
        <v>-0.0286290940025522</v>
      </c>
      <c r="J5" s="50" t="n">
        <f aca="false">G5*'D1 Supuestos Demanda'!$B$6*'D1 Supuestos Demanda'!$B$7</f>
        <v>13565.13642</v>
      </c>
      <c r="K5" s="51" t="n">
        <f aca="false">J5*'D1 Supuestos Demanda'!$B$8*E5</f>
        <v>1492.1650062</v>
      </c>
      <c r="L5" s="52" t="n">
        <v>1</v>
      </c>
      <c r="M5" s="50" t="n">
        <v>36200000</v>
      </c>
      <c r="N5" s="53" t="s">
        <v>701</v>
      </c>
      <c r="O5" s="55" t="s">
        <v>260</v>
      </c>
    </row>
    <row r="6" customFormat="false" ht="39.75" hidden="false" customHeight="true" outlineLevel="0" collapsed="false">
      <c r="A6" s="11" t="s">
        <v>702</v>
      </c>
      <c r="B6" s="10" t="s">
        <v>672</v>
      </c>
      <c r="C6" s="10" t="s">
        <v>699</v>
      </c>
      <c r="D6" s="58" t="s">
        <v>700</v>
      </c>
      <c r="E6" s="36" t="n">
        <v>0.2</v>
      </c>
      <c r="F6" s="59" t="n">
        <v>0.2065</v>
      </c>
      <c r="G6" s="50" t="n">
        <f aca="false">F6*'D2 Mercado por Region'!B5</f>
        <v>35658.42</v>
      </c>
      <c r="H6" s="60" t="n">
        <v>36700</v>
      </c>
      <c r="I6" s="61" t="n">
        <f aca="false">G6/H6-1</f>
        <v>-0.0283809264305177</v>
      </c>
      <c r="J6" s="50" t="n">
        <f aca="false">G6*'D1 Supuestos Demanda'!$B$6*'D1 Supuestos Demanda'!$B$7</f>
        <v>3530.18358</v>
      </c>
      <c r="K6" s="51" t="n">
        <f aca="false">J6*'D1 Supuestos Demanda'!$B$8*E6</f>
        <v>388.3201938</v>
      </c>
      <c r="L6" s="52" t="n">
        <v>0.95</v>
      </c>
      <c r="M6" s="62" t="s">
        <v>703</v>
      </c>
      <c r="N6" s="53" t="s">
        <v>704</v>
      </c>
      <c r="O6" s="55" t="s">
        <v>260</v>
      </c>
    </row>
    <row r="7" customFormat="false" ht="39.75" hidden="false" customHeight="true" outlineLevel="0" collapsed="false">
      <c r="A7" s="11" t="s">
        <v>705</v>
      </c>
      <c r="B7" s="10" t="s">
        <v>678</v>
      </c>
      <c r="C7" s="10" t="s">
        <v>706</v>
      </c>
      <c r="D7" s="63" t="s">
        <v>707</v>
      </c>
      <c r="E7" s="36" t="n">
        <v>0.08</v>
      </c>
      <c r="F7" s="59" t="n">
        <v>0.2092</v>
      </c>
      <c r="G7" s="50" t="n">
        <f aca="false">F7*'D2 Mercado por Region'!B7</f>
        <v>14813.452</v>
      </c>
      <c r="H7" s="60" t="n">
        <v>14810</v>
      </c>
      <c r="I7" s="61" t="n">
        <f aca="false">G7/H7-1</f>
        <v>0.000233085752869622</v>
      </c>
      <c r="J7" s="50" t="n">
        <f aca="false">G7*'D1 Supuestos Demanda'!$B$6*'D1 Supuestos Demanda'!$B$7</f>
        <v>1466.531748</v>
      </c>
      <c r="K7" s="51" t="n">
        <f aca="false">J7*'D1 Supuestos Demanda'!$B$8*E7</f>
        <v>64.527396912</v>
      </c>
      <c r="L7" s="52" t="n">
        <v>0.98</v>
      </c>
      <c r="M7" s="50" t="n">
        <v>3200000</v>
      </c>
      <c r="N7" s="53" t="s">
        <v>708</v>
      </c>
      <c r="O7" s="55" t="s">
        <v>260</v>
      </c>
    </row>
    <row r="8" customFormat="false" ht="39.75" hidden="false" customHeight="true" outlineLevel="0" collapsed="false">
      <c r="A8" s="11" t="s">
        <v>709</v>
      </c>
      <c r="B8" s="10" t="s">
        <v>678</v>
      </c>
      <c r="C8" s="10" t="s">
        <v>710</v>
      </c>
      <c r="D8" s="63" t="s">
        <v>707</v>
      </c>
      <c r="E8" s="36" t="n">
        <v>0.08</v>
      </c>
      <c r="F8" s="59" t="n">
        <v>0.1863</v>
      </c>
      <c r="G8" s="50" t="n">
        <f aca="false">F8*'D2 Mercado por Region'!B7</f>
        <v>13191.903</v>
      </c>
      <c r="H8" s="60" t="n">
        <v>13190</v>
      </c>
      <c r="I8" s="61" t="n">
        <f aca="false">G8/H8-1</f>
        <v>0.000144275966641461</v>
      </c>
      <c r="J8" s="50" t="n">
        <f aca="false">G8*'D1 Supuestos Demanda'!$B$6*'D1 Supuestos Demanda'!$B$7</f>
        <v>1305.998397</v>
      </c>
      <c r="K8" s="51" t="n">
        <f aca="false">J8*'D1 Supuestos Demanda'!$B$8*E8</f>
        <v>57.463929468</v>
      </c>
      <c r="L8" s="52" t="n">
        <v>0.95</v>
      </c>
      <c r="M8" s="50" t="n">
        <v>5300000</v>
      </c>
      <c r="N8" s="53" t="s">
        <v>711</v>
      </c>
      <c r="O8" s="55" t="s">
        <v>260</v>
      </c>
    </row>
    <row r="9" customFormat="false" ht="39.75" hidden="false" customHeight="true" outlineLevel="0" collapsed="false">
      <c r="A9" s="11" t="s">
        <v>712</v>
      </c>
      <c r="B9" s="10" t="s">
        <v>678</v>
      </c>
      <c r="C9" s="10" t="s">
        <v>699</v>
      </c>
      <c r="D9" s="58" t="s">
        <v>700</v>
      </c>
      <c r="E9" s="36" t="n">
        <v>0.2</v>
      </c>
      <c r="F9" s="59" t="n">
        <v>0.1826</v>
      </c>
      <c r="G9" s="50" t="n">
        <f aca="false">F9*'D2 Mercado por Region'!B7</f>
        <v>12929.906</v>
      </c>
      <c r="H9" s="60" t="n">
        <v>12930</v>
      </c>
      <c r="I9" s="61" t="n">
        <f aca="false">G9/H9-1</f>
        <v>-7.26991492649987E-006</v>
      </c>
      <c r="J9" s="50" t="n">
        <f aca="false">G9*'D1 Supuestos Demanda'!$B$6*'D1 Supuestos Demanda'!$B$7</f>
        <v>1280.060694</v>
      </c>
      <c r="K9" s="51" t="n">
        <f aca="false">J9*'D1 Supuestos Demanda'!$B$8*E9</f>
        <v>140.80667634</v>
      </c>
      <c r="L9" s="52" t="n">
        <v>0.98</v>
      </c>
      <c r="M9" s="62" t="s">
        <v>703</v>
      </c>
      <c r="N9" s="53" t="s">
        <v>713</v>
      </c>
      <c r="O9" s="55" t="s">
        <v>260</v>
      </c>
    </row>
    <row r="10" customFormat="false" ht="39.75" hidden="false" customHeight="true" outlineLevel="0" collapsed="false">
      <c r="A10" s="11" t="s">
        <v>714</v>
      </c>
      <c r="B10" s="10" t="s">
        <v>678</v>
      </c>
      <c r="C10" s="10" t="s">
        <v>715</v>
      </c>
      <c r="D10" s="63" t="s">
        <v>707</v>
      </c>
      <c r="E10" s="36" t="n">
        <v>0.08</v>
      </c>
      <c r="F10" s="59" t="n">
        <v>0.0833</v>
      </c>
      <c r="G10" s="50" t="n">
        <f aca="false">F10*'D2 Mercado por Region'!B7</f>
        <v>5898.473</v>
      </c>
      <c r="H10" s="62" t="s">
        <v>703</v>
      </c>
      <c r="I10" s="62" t="s">
        <v>716</v>
      </c>
      <c r="J10" s="50" t="n">
        <f aca="false">G10*'D1 Supuestos Demanda'!$B$6*'D1 Supuestos Demanda'!$B$7</f>
        <v>583.948827</v>
      </c>
      <c r="K10" s="51" t="n">
        <f aca="false">J10*'D1 Supuestos Demanda'!$B$8*E10</f>
        <v>25.693748388</v>
      </c>
      <c r="L10" s="52" t="n">
        <v>0.85</v>
      </c>
      <c r="M10" s="50" t="n">
        <v>4600000</v>
      </c>
      <c r="N10" s="53" t="s">
        <v>717</v>
      </c>
      <c r="O10" s="56" t="s">
        <v>274</v>
      </c>
    </row>
    <row r="11" customFormat="false" ht="39.75" hidden="false" customHeight="true" outlineLevel="0" collapsed="false">
      <c r="A11" s="11" t="s">
        <v>718</v>
      </c>
      <c r="B11" s="10" t="s">
        <v>678</v>
      </c>
      <c r="C11" s="10" t="s">
        <v>719</v>
      </c>
      <c r="D11" s="55" t="s">
        <v>720</v>
      </c>
      <c r="E11" s="36" t="n">
        <v>0.6</v>
      </c>
      <c r="F11" s="59" t="n">
        <v>0.0621</v>
      </c>
      <c r="G11" s="50" t="n">
        <f aca="false">F11*'D2 Mercado por Region'!B7</f>
        <v>4397.301</v>
      </c>
      <c r="H11" s="62" t="s">
        <v>703</v>
      </c>
      <c r="I11" s="62" t="s">
        <v>716</v>
      </c>
      <c r="J11" s="50" t="n">
        <f aca="false">G11*'D1 Supuestos Demanda'!$B$6*'D1 Supuestos Demanda'!$B$7</f>
        <v>435.332799</v>
      </c>
      <c r="K11" s="51" t="n">
        <f aca="false">J11*'D1 Supuestos Demanda'!$B$8*E11</f>
        <v>143.65982367</v>
      </c>
      <c r="L11" s="52" t="n">
        <v>0.82</v>
      </c>
      <c r="M11" s="50" t="n">
        <v>3500000</v>
      </c>
      <c r="N11" s="53" t="s">
        <v>721</v>
      </c>
      <c r="O11" s="56" t="s">
        <v>274</v>
      </c>
    </row>
    <row r="12" customFormat="false" ht="39.75" hidden="false" customHeight="true" outlineLevel="0" collapsed="false">
      <c r="A12" s="11" t="s">
        <v>722</v>
      </c>
      <c r="B12" s="10" t="s">
        <v>678</v>
      </c>
      <c r="C12" s="10" t="s">
        <v>699</v>
      </c>
      <c r="D12" s="63" t="s">
        <v>707</v>
      </c>
      <c r="E12" s="36" t="n">
        <v>0.08</v>
      </c>
      <c r="F12" s="59" t="n">
        <v>0.065</v>
      </c>
      <c r="G12" s="50" t="n">
        <f aca="false">F12*'D2 Mercado por Region'!B7</f>
        <v>4602.65</v>
      </c>
      <c r="H12" s="62" t="s">
        <v>703</v>
      </c>
      <c r="I12" s="62" t="s">
        <v>716</v>
      </c>
      <c r="J12" s="50" t="n">
        <f aca="false">G12*'D1 Supuestos Demanda'!$B$6*'D1 Supuestos Demanda'!$B$7</f>
        <v>455.66235</v>
      </c>
      <c r="K12" s="51" t="n">
        <f aca="false">J12*'D1 Supuestos Demanda'!$B$8*E12</f>
        <v>20.0491434</v>
      </c>
      <c r="L12" s="52" t="n">
        <v>1.05</v>
      </c>
      <c r="M12" s="62" t="s">
        <v>703</v>
      </c>
      <c r="N12" s="53" t="s">
        <v>723</v>
      </c>
      <c r="O12" s="56" t="s">
        <v>274</v>
      </c>
    </row>
    <row r="13" customFormat="false" ht="39.75" hidden="false" customHeight="true" outlineLevel="0" collapsed="false">
      <c r="A13" s="11" t="s">
        <v>724</v>
      </c>
      <c r="B13" s="10" t="s">
        <v>678</v>
      </c>
      <c r="C13" s="10" t="s">
        <v>725</v>
      </c>
      <c r="D13" s="63" t="s">
        <v>707</v>
      </c>
      <c r="E13" s="36" t="n">
        <v>0.08</v>
      </c>
      <c r="F13" s="59" t="n">
        <v>0.0466</v>
      </c>
      <c r="G13" s="50" t="n">
        <f aca="false">F13*'D2 Mercado por Region'!B7</f>
        <v>3299.746</v>
      </c>
      <c r="H13" s="62" t="s">
        <v>703</v>
      </c>
      <c r="I13" s="62" t="s">
        <v>716</v>
      </c>
      <c r="J13" s="50" t="n">
        <f aca="false">G13*'D1 Supuestos Demanda'!$B$6*'D1 Supuestos Demanda'!$B$7</f>
        <v>326.674854</v>
      </c>
      <c r="K13" s="51" t="n">
        <f aca="false">J13*'D1 Supuestos Demanda'!$B$8*E13</f>
        <v>14.373693576</v>
      </c>
      <c r="L13" s="52" t="n">
        <v>0.98</v>
      </c>
      <c r="M13" s="62" t="s">
        <v>703</v>
      </c>
      <c r="N13" s="53" t="s">
        <v>726</v>
      </c>
      <c r="O13" s="56" t="s">
        <v>274</v>
      </c>
    </row>
    <row r="14" customFormat="false" ht="39.75" hidden="false" customHeight="true" outlineLevel="0" collapsed="false">
      <c r="A14" s="11" t="s">
        <v>727</v>
      </c>
      <c r="B14" s="10" t="s">
        <v>678</v>
      </c>
      <c r="C14" s="10" t="s">
        <v>728</v>
      </c>
      <c r="D14" s="64" t="s">
        <v>729</v>
      </c>
      <c r="E14" s="36" t="n">
        <v>0.01</v>
      </c>
      <c r="F14" s="59" t="n">
        <v>0.0311</v>
      </c>
      <c r="G14" s="50" t="n">
        <f aca="false">F14*'D2 Mercado por Region'!B7</f>
        <v>2202.191</v>
      </c>
      <c r="H14" s="62" t="s">
        <v>703</v>
      </c>
      <c r="I14" s="62" t="s">
        <v>716</v>
      </c>
      <c r="J14" s="50" t="n">
        <f aca="false">G14*'D1 Supuestos Demanda'!$B$6*'D1 Supuestos Demanda'!$B$7</f>
        <v>218.016909</v>
      </c>
      <c r="K14" s="51" t="n">
        <f aca="false">J14*'D1 Supuestos Demanda'!$B$8*E14</f>
        <v>1.1990929995</v>
      </c>
      <c r="L14" s="52" t="n">
        <v>0.62</v>
      </c>
      <c r="M14" s="62" t="s">
        <v>703</v>
      </c>
      <c r="N14" s="53" t="s">
        <v>730</v>
      </c>
      <c r="O14" s="56" t="s">
        <v>274</v>
      </c>
    </row>
    <row r="15" customFormat="false" ht="39.75" hidden="false" customHeight="true" outlineLevel="0" collapsed="false">
      <c r="A15" s="11" t="s">
        <v>731</v>
      </c>
      <c r="B15" s="10" t="s">
        <v>678</v>
      </c>
      <c r="C15" s="10" t="s">
        <v>732</v>
      </c>
      <c r="D15" s="64" t="s">
        <v>729</v>
      </c>
      <c r="E15" s="36" t="n">
        <v>0.01</v>
      </c>
      <c r="F15" s="59" t="n">
        <v>0.1338</v>
      </c>
      <c r="G15" s="50" t="n">
        <f aca="false">F15*'D2 Mercado por Region'!B7</f>
        <v>9474.378</v>
      </c>
      <c r="H15" s="62" t="s">
        <v>703</v>
      </c>
      <c r="I15" s="62" t="s">
        <v>716</v>
      </c>
      <c r="J15" s="50" t="n">
        <f aca="false">G15*'D1 Supuestos Demanda'!$B$6*'D1 Supuestos Demanda'!$B$7</f>
        <v>937.963422</v>
      </c>
      <c r="K15" s="51" t="n">
        <f aca="false">J15*'D1 Supuestos Demanda'!$B$8*E15</f>
        <v>5.158798821</v>
      </c>
      <c r="L15" s="52" t="n">
        <v>0.75</v>
      </c>
      <c r="M15" s="62" t="s">
        <v>703</v>
      </c>
      <c r="N15" s="53" t="s">
        <v>733</v>
      </c>
      <c r="O15" s="65" t="s">
        <v>734</v>
      </c>
    </row>
    <row r="16" customFormat="false" ht="39.75" hidden="false" customHeight="true" outlineLevel="0" collapsed="false">
      <c r="A16" s="11" t="s">
        <v>735</v>
      </c>
      <c r="B16" s="10" t="s">
        <v>675</v>
      </c>
      <c r="C16" s="10" t="s">
        <v>736</v>
      </c>
      <c r="D16" s="64" t="s">
        <v>729</v>
      </c>
      <c r="E16" s="36" t="n">
        <v>0.01</v>
      </c>
      <c r="F16" s="59" t="n">
        <v>0.2259</v>
      </c>
      <c r="G16" s="50" t="n">
        <f aca="false">F16*'D2 Mercado por Region'!B6</f>
        <v>19440.954</v>
      </c>
      <c r="H16" s="60" t="n">
        <v>19440</v>
      </c>
      <c r="I16" s="61" t="n">
        <f aca="false">G16/H16-1</f>
        <v>4.90740740739515E-005</v>
      </c>
      <c r="J16" s="50" t="n">
        <f aca="false">G16*'D1 Supuestos Demanda'!$B$6*'D1 Supuestos Demanda'!$B$7</f>
        <v>1924.654446</v>
      </c>
      <c r="K16" s="51" t="n">
        <f aca="false">J16*'D1 Supuestos Demanda'!$B$8*E16</f>
        <v>10.585599453</v>
      </c>
      <c r="L16" s="52" t="n">
        <v>0.55</v>
      </c>
      <c r="M16" s="62" t="s">
        <v>703</v>
      </c>
      <c r="N16" s="53" t="s">
        <v>737</v>
      </c>
      <c r="O16" s="55" t="s">
        <v>260</v>
      </c>
    </row>
    <row r="17" customFormat="false" ht="39.75" hidden="false" customHeight="true" outlineLevel="0" collapsed="false">
      <c r="A17" s="11" t="s">
        <v>738</v>
      </c>
      <c r="B17" s="10" t="s">
        <v>675</v>
      </c>
      <c r="C17" s="10" t="s">
        <v>699</v>
      </c>
      <c r="D17" s="64" t="s">
        <v>729</v>
      </c>
      <c r="E17" s="36" t="n">
        <v>0.01</v>
      </c>
      <c r="F17" s="59" t="n">
        <v>0.2004</v>
      </c>
      <c r="G17" s="50" t="n">
        <f aca="false">F17*'D2 Mercado por Region'!B6</f>
        <v>17246.424</v>
      </c>
      <c r="H17" s="60" t="n">
        <v>17250</v>
      </c>
      <c r="I17" s="61" t="n">
        <f aca="false">G17/H17-1</f>
        <v>-0.000207304347826121</v>
      </c>
      <c r="J17" s="50" t="n">
        <f aca="false">G17*'D1 Supuestos Demanda'!$B$6*'D1 Supuestos Demanda'!$B$7</f>
        <v>1707.395976</v>
      </c>
      <c r="K17" s="51" t="n">
        <f aca="false">J17*'D1 Supuestos Demanda'!$B$8*E17</f>
        <v>9.390677868</v>
      </c>
      <c r="L17" s="52" t="n">
        <v>0.35</v>
      </c>
      <c r="M17" s="62" t="s">
        <v>703</v>
      </c>
      <c r="N17" s="53" t="s">
        <v>739</v>
      </c>
      <c r="O17" s="55" t="s">
        <v>260</v>
      </c>
    </row>
    <row r="18" customFormat="false" ht="39.75" hidden="false" customHeight="true" outlineLevel="0" collapsed="false">
      <c r="A18" s="11" t="s">
        <v>740</v>
      </c>
      <c r="B18" s="10" t="s">
        <v>675</v>
      </c>
      <c r="C18" s="10" t="s">
        <v>741</v>
      </c>
      <c r="D18" s="64" t="s">
        <v>729</v>
      </c>
      <c r="E18" s="36" t="n">
        <v>0.01</v>
      </c>
      <c r="F18" s="59" t="n">
        <v>0.1981</v>
      </c>
      <c r="G18" s="50" t="n">
        <f aca="false">F18*'D2 Mercado por Region'!B6</f>
        <v>17048.486</v>
      </c>
      <c r="H18" s="60" t="n">
        <v>17050</v>
      </c>
      <c r="I18" s="61" t="n">
        <f aca="false">G18/H18-1</f>
        <v>-8.87976539588609E-005</v>
      </c>
      <c r="J18" s="50" t="n">
        <f aca="false">G18*'D1 Supuestos Demanda'!$B$6*'D1 Supuestos Demanda'!$B$7</f>
        <v>1687.800114</v>
      </c>
      <c r="K18" s="51" t="n">
        <f aca="false">J18*'D1 Supuestos Demanda'!$B$8*E18</f>
        <v>9.282900627</v>
      </c>
      <c r="L18" s="52" t="n">
        <v>0.85</v>
      </c>
      <c r="M18" s="50" t="n">
        <v>3500000</v>
      </c>
      <c r="N18" s="53" t="s">
        <v>742</v>
      </c>
      <c r="O18" s="55" t="s">
        <v>260</v>
      </c>
    </row>
    <row r="19" customFormat="false" ht="39.75" hidden="false" customHeight="true" outlineLevel="0" collapsed="false">
      <c r="A19" s="11" t="s">
        <v>743</v>
      </c>
      <c r="B19" s="10" t="s">
        <v>675</v>
      </c>
      <c r="C19" s="10" t="s">
        <v>699</v>
      </c>
      <c r="D19" s="63" t="s">
        <v>707</v>
      </c>
      <c r="E19" s="36" t="n">
        <v>0.08</v>
      </c>
      <c r="F19" s="59" t="n">
        <v>0.1604</v>
      </c>
      <c r="G19" s="50" t="n">
        <f aca="false">F19*'D2 Mercado por Region'!B6</f>
        <v>13804.024</v>
      </c>
      <c r="H19" s="60" t="n">
        <v>13800</v>
      </c>
      <c r="I19" s="61" t="n">
        <f aca="false">G19/H19-1</f>
        <v>0.000291594202898482</v>
      </c>
      <c r="J19" s="50" t="n">
        <f aca="false">G19*'D1 Supuestos Demanda'!$B$6*'D1 Supuestos Demanda'!$B$7</f>
        <v>1366.598376</v>
      </c>
      <c r="K19" s="51" t="n">
        <f aca="false">J19*'D1 Supuestos Demanda'!$B$8*E19</f>
        <v>60.130328544</v>
      </c>
      <c r="L19" s="52" t="n">
        <v>0.98</v>
      </c>
      <c r="M19" s="62" t="s">
        <v>703</v>
      </c>
      <c r="N19" s="53" t="s">
        <v>744</v>
      </c>
      <c r="O19" s="55" t="s">
        <v>260</v>
      </c>
    </row>
    <row r="20" customFormat="false" ht="39.75" hidden="false" customHeight="true" outlineLevel="0" collapsed="false">
      <c r="A20" s="11" t="s">
        <v>745</v>
      </c>
      <c r="B20" s="10" t="s">
        <v>675</v>
      </c>
      <c r="C20" s="10" t="s">
        <v>746</v>
      </c>
      <c r="D20" s="64" t="s">
        <v>729</v>
      </c>
      <c r="E20" s="36" t="n">
        <v>0.01</v>
      </c>
      <c r="F20" s="59" t="n">
        <v>0.0755</v>
      </c>
      <c r="G20" s="50" t="n">
        <f aca="false">F20*'D2 Mercado por Region'!B6</f>
        <v>6497.53</v>
      </c>
      <c r="H20" s="62" t="s">
        <v>703</v>
      </c>
      <c r="I20" s="62" t="s">
        <v>716</v>
      </c>
      <c r="J20" s="50" t="n">
        <f aca="false">G20*'D1 Supuestos Demanda'!$B$6*'D1 Supuestos Demanda'!$B$7</f>
        <v>643.25547</v>
      </c>
      <c r="K20" s="51" t="n">
        <f aca="false">J20*'D1 Supuestos Demanda'!$B$8*E20</f>
        <v>3.537905085</v>
      </c>
      <c r="L20" s="52" t="n">
        <v>0.8</v>
      </c>
      <c r="M20" s="62" t="s">
        <v>703</v>
      </c>
      <c r="N20" s="53" t="s">
        <v>747</v>
      </c>
      <c r="O20" s="56" t="s">
        <v>274</v>
      </c>
    </row>
    <row r="21" customFormat="false" ht="39.75" hidden="false" customHeight="true" outlineLevel="0" collapsed="false">
      <c r="A21" s="11" t="s">
        <v>748</v>
      </c>
      <c r="B21" s="10" t="s">
        <v>675</v>
      </c>
      <c r="C21" s="10" t="s">
        <v>699</v>
      </c>
      <c r="D21" s="63" t="s">
        <v>707</v>
      </c>
      <c r="E21" s="36" t="n">
        <v>0.08</v>
      </c>
      <c r="F21" s="59" t="n">
        <v>0.0349</v>
      </c>
      <c r="G21" s="50" t="n">
        <f aca="false">F21*'D2 Mercado por Region'!B6</f>
        <v>3003.494</v>
      </c>
      <c r="H21" s="62" t="s">
        <v>703</v>
      </c>
      <c r="I21" s="62" t="s">
        <v>716</v>
      </c>
      <c r="J21" s="50" t="n">
        <f aca="false">G21*'D1 Supuestos Demanda'!$B$6*'D1 Supuestos Demanda'!$B$7</f>
        <v>297.345906</v>
      </c>
      <c r="K21" s="51" t="n">
        <f aca="false">J21*'D1 Supuestos Demanda'!$B$8*E21</f>
        <v>13.083219864</v>
      </c>
      <c r="L21" s="52" t="n">
        <v>0.95</v>
      </c>
      <c r="M21" s="62" t="s">
        <v>703</v>
      </c>
      <c r="N21" s="53" t="s">
        <v>749</v>
      </c>
      <c r="O21" s="56" t="s">
        <v>274</v>
      </c>
    </row>
    <row r="22" customFormat="false" ht="39.75" hidden="false" customHeight="true" outlineLevel="0" collapsed="false">
      <c r="A22" s="11" t="s">
        <v>750</v>
      </c>
      <c r="B22" s="10" t="s">
        <v>675</v>
      </c>
      <c r="C22" s="10" t="s">
        <v>732</v>
      </c>
      <c r="D22" s="64" t="s">
        <v>729</v>
      </c>
      <c r="E22" s="36" t="n">
        <v>0.01</v>
      </c>
      <c r="F22" s="59" t="n">
        <v>0.1048</v>
      </c>
      <c r="G22" s="50" t="n">
        <f aca="false">F22*'D2 Mercado por Region'!B6</f>
        <v>9019.088</v>
      </c>
      <c r="H22" s="62" t="s">
        <v>703</v>
      </c>
      <c r="I22" s="62" t="s">
        <v>716</v>
      </c>
      <c r="J22" s="50" t="n">
        <f aca="false">G22*'D1 Supuestos Demanda'!$B$6*'D1 Supuestos Demanda'!$B$7</f>
        <v>892.889712</v>
      </c>
      <c r="K22" s="51" t="n">
        <f aca="false">J22*'D1 Supuestos Demanda'!$B$8*E22</f>
        <v>4.910893416</v>
      </c>
      <c r="L22" s="52" t="n">
        <v>0.5</v>
      </c>
      <c r="M22" s="62" t="s">
        <v>703</v>
      </c>
      <c r="N22" s="53" t="s">
        <v>751</v>
      </c>
      <c r="O22" s="65" t="s">
        <v>734</v>
      </c>
    </row>
    <row r="23" customFormat="false" ht="39.75" hidden="false" customHeight="true" outlineLevel="0" collapsed="false">
      <c r="A23" s="11" t="s">
        <v>752</v>
      </c>
      <c r="B23" s="10" t="s">
        <v>680</v>
      </c>
      <c r="C23" s="10" t="s">
        <v>753</v>
      </c>
      <c r="D23" s="58" t="s">
        <v>700</v>
      </c>
      <c r="E23" s="36" t="n">
        <v>0.2</v>
      </c>
      <c r="F23" s="59" t="n">
        <v>0.5513</v>
      </c>
      <c r="G23" s="50" t="n">
        <f aca="false">F23*'D2 Mercado por Region'!B8</f>
        <v>11577.3</v>
      </c>
      <c r="H23" s="60" t="n">
        <v>11578</v>
      </c>
      <c r="I23" s="61" t="n">
        <f aca="false">G23/H23-1</f>
        <v>-6.04594921401747E-005</v>
      </c>
      <c r="J23" s="50" t="n">
        <f aca="false">G23*'D1 Supuestos Demanda'!$B$6*'D1 Supuestos Demanda'!$B$7</f>
        <v>1146.1527</v>
      </c>
      <c r="K23" s="51" t="n">
        <f aca="false">J23*'D1 Supuestos Demanda'!$B$8*E23</f>
        <v>126.076797</v>
      </c>
      <c r="L23" s="52" t="n">
        <v>0.55</v>
      </c>
      <c r="M23" s="62" t="s">
        <v>703</v>
      </c>
      <c r="N23" s="53" t="s">
        <v>754</v>
      </c>
      <c r="O23" s="55" t="s">
        <v>260</v>
      </c>
    </row>
    <row r="24" customFormat="false" ht="39.75" hidden="false" customHeight="true" outlineLevel="0" collapsed="false">
      <c r="A24" s="11" t="s">
        <v>755</v>
      </c>
      <c r="B24" s="10" t="s">
        <v>680</v>
      </c>
      <c r="C24" s="10" t="s">
        <v>719</v>
      </c>
      <c r="D24" s="55" t="s">
        <v>720</v>
      </c>
      <c r="E24" s="36" t="n">
        <v>0.6</v>
      </c>
      <c r="F24" s="59" t="n">
        <v>0.17</v>
      </c>
      <c r="G24" s="50" t="n">
        <f aca="false">F24*'D2 Mercado por Region'!B8</f>
        <v>3570</v>
      </c>
      <c r="H24" s="60" t="n">
        <v>3570</v>
      </c>
      <c r="I24" s="61" t="n">
        <f aca="false">G24/H24-1</f>
        <v>0</v>
      </c>
      <c r="J24" s="50" t="n">
        <f aca="false">G24*'D1 Supuestos Demanda'!$B$6*'D1 Supuestos Demanda'!$B$7</f>
        <v>353.43</v>
      </c>
      <c r="K24" s="51" t="n">
        <f aca="false">J24*'D1 Supuestos Demanda'!$B$8*E24</f>
        <v>116.6319</v>
      </c>
      <c r="L24" s="52" t="n">
        <v>0.6</v>
      </c>
      <c r="M24" s="50" t="n">
        <v>6000000</v>
      </c>
      <c r="N24" s="53" t="s">
        <v>756</v>
      </c>
      <c r="O24" s="55" t="s">
        <v>260</v>
      </c>
    </row>
    <row r="25" customFormat="false" ht="39.75" hidden="false" customHeight="true" outlineLevel="0" collapsed="false">
      <c r="A25" s="11" t="s">
        <v>757</v>
      </c>
      <c r="B25" s="10" t="s">
        <v>680</v>
      </c>
      <c r="C25" s="10" t="s">
        <v>719</v>
      </c>
      <c r="D25" s="55" t="s">
        <v>720</v>
      </c>
      <c r="E25" s="36" t="n">
        <v>0.6</v>
      </c>
      <c r="F25" s="59" t="n">
        <v>0.0619</v>
      </c>
      <c r="G25" s="50" t="n">
        <f aca="false">F25*'D2 Mercado por Region'!B8</f>
        <v>1299.9</v>
      </c>
      <c r="H25" s="62" t="s">
        <v>703</v>
      </c>
      <c r="I25" s="62" t="s">
        <v>716</v>
      </c>
      <c r="J25" s="50" t="n">
        <f aca="false">G25*'D1 Supuestos Demanda'!$B$6*'D1 Supuestos Demanda'!$B$7</f>
        <v>128.6901</v>
      </c>
      <c r="K25" s="51" t="n">
        <f aca="false">J25*'D1 Supuestos Demanda'!$B$8*E25</f>
        <v>42.467733</v>
      </c>
      <c r="L25" s="52" t="n">
        <v>0.45</v>
      </c>
      <c r="M25" s="62" t="s">
        <v>703</v>
      </c>
      <c r="N25" s="53" t="s">
        <v>758</v>
      </c>
      <c r="O25" s="56" t="s">
        <v>274</v>
      </c>
    </row>
    <row r="26" customFormat="false" ht="39.75" hidden="false" customHeight="true" outlineLevel="0" collapsed="false">
      <c r="A26" s="11" t="s">
        <v>759</v>
      </c>
      <c r="B26" s="10" t="s">
        <v>680</v>
      </c>
      <c r="C26" s="10" t="s">
        <v>719</v>
      </c>
      <c r="D26" s="55" t="s">
        <v>720</v>
      </c>
      <c r="E26" s="36" t="n">
        <v>0.6</v>
      </c>
      <c r="F26" s="59" t="n">
        <v>0.0548</v>
      </c>
      <c r="G26" s="50" t="n">
        <f aca="false">F26*'D2 Mercado por Region'!B8</f>
        <v>1150.8</v>
      </c>
      <c r="H26" s="62" t="s">
        <v>703</v>
      </c>
      <c r="I26" s="62" t="s">
        <v>716</v>
      </c>
      <c r="J26" s="50" t="n">
        <f aca="false">G26*'D1 Supuestos Demanda'!$B$6*'D1 Supuestos Demanda'!$B$7</f>
        <v>113.9292</v>
      </c>
      <c r="K26" s="51" t="n">
        <f aca="false">J26*'D1 Supuestos Demanda'!$B$8*E26</f>
        <v>37.596636</v>
      </c>
      <c r="L26" s="52" t="n">
        <v>0.5</v>
      </c>
      <c r="M26" s="62" t="s">
        <v>703</v>
      </c>
      <c r="N26" s="53" t="s">
        <v>760</v>
      </c>
      <c r="O26" s="56" t="s">
        <v>274</v>
      </c>
    </row>
    <row r="27" customFormat="false" ht="39.75" hidden="false" customHeight="true" outlineLevel="0" collapsed="false">
      <c r="A27" s="11" t="s">
        <v>761</v>
      </c>
      <c r="B27" s="10" t="s">
        <v>680</v>
      </c>
      <c r="C27" s="10" t="s">
        <v>719</v>
      </c>
      <c r="D27" s="55" t="s">
        <v>720</v>
      </c>
      <c r="E27" s="36" t="n">
        <v>0.6</v>
      </c>
      <c r="F27" s="59" t="n">
        <v>0.0548</v>
      </c>
      <c r="G27" s="50" t="n">
        <f aca="false">F27*'D2 Mercado por Region'!B8</f>
        <v>1150.8</v>
      </c>
      <c r="H27" s="62" t="s">
        <v>703</v>
      </c>
      <c r="I27" s="62" t="s">
        <v>716</v>
      </c>
      <c r="J27" s="50" t="n">
        <f aca="false">G27*'D1 Supuestos Demanda'!$B$6*'D1 Supuestos Demanda'!$B$7</f>
        <v>113.9292</v>
      </c>
      <c r="K27" s="51" t="n">
        <f aca="false">J27*'D1 Supuestos Demanda'!$B$8*E27</f>
        <v>37.596636</v>
      </c>
      <c r="L27" s="52" t="n">
        <v>0.62</v>
      </c>
      <c r="M27" s="50" t="n">
        <v>1194430</v>
      </c>
      <c r="N27" s="53" t="s">
        <v>762</v>
      </c>
      <c r="O27" s="56" t="s">
        <v>274</v>
      </c>
    </row>
    <row r="28" customFormat="false" ht="39.75" hidden="false" customHeight="true" outlineLevel="0" collapsed="false">
      <c r="A28" s="11" t="s">
        <v>763</v>
      </c>
      <c r="B28" s="10" t="s">
        <v>680</v>
      </c>
      <c r="C28" s="10" t="s">
        <v>719</v>
      </c>
      <c r="D28" s="55" t="s">
        <v>720</v>
      </c>
      <c r="E28" s="36" t="n">
        <v>0.6</v>
      </c>
      <c r="F28" s="59" t="n">
        <v>0.0286</v>
      </c>
      <c r="G28" s="50" t="n">
        <f aca="false">F28*'D2 Mercado por Region'!B8</f>
        <v>600.6</v>
      </c>
      <c r="H28" s="62" t="s">
        <v>703</v>
      </c>
      <c r="I28" s="62" t="s">
        <v>716</v>
      </c>
      <c r="J28" s="50" t="n">
        <f aca="false">G28*'D1 Supuestos Demanda'!$B$6*'D1 Supuestos Demanda'!$B$7</f>
        <v>59.4594</v>
      </c>
      <c r="K28" s="51" t="n">
        <f aca="false">J28*'D1 Supuestos Demanda'!$B$8*E28</f>
        <v>19.621602</v>
      </c>
      <c r="L28" s="52" t="n">
        <v>0.5</v>
      </c>
      <c r="M28" s="50" t="n">
        <v>2100000</v>
      </c>
      <c r="N28" s="53" t="s">
        <v>764</v>
      </c>
      <c r="O28" s="56" t="s">
        <v>274</v>
      </c>
    </row>
    <row r="29" customFormat="false" ht="39.75" hidden="false" customHeight="true" outlineLevel="0" collapsed="false">
      <c r="A29" s="11" t="s">
        <v>765</v>
      </c>
      <c r="B29" s="10" t="s">
        <v>680</v>
      </c>
      <c r="C29" s="10" t="s">
        <v>719</v>
      </c>
      <c r="D29" s="55" t="s">
        <v>720</v>
      </c>
      <c r="E29" s="36" t="n">
        <v>0.6</v>
      </c>
      <c r="F29" s="59" t="n">
        <v>0.0786</v>
      </c>
      <c r="G29" s="50" t="n">
        <f aca="false">F29*'D2 Mercado por Region'!B8</f>
        <v>1650.6</v>
      </c>
      <c r="H29" s="62" t="s">
        <v>703</v>
      </c>
      <c r="I29" s="62" t="s">
        <v>716</v>
      </c>
      <c r="J29" s="50" t="n">
        <f aca="false">G29*'D1 Supuestos Demanda'!$B$6*'D1 Supuestos Demanda'!$B$7</f>
        <v>163.4094</v>
      </c>
      <c r="K29" s="51" t="n">
        <f aca="false">J29*'D1 Supuestos Demanda'!$B$8*E29</f>
        <v>53.925102</v>
      </c>
      <c r="L29" s="52" t="n">
        <v>0.5</v>
      </c>
      <c r="M29" s="62" t="s">
        <v>703</v>
      </c>
      <c r="N29" s="53" t="s">
        <v>766</v>
      </c>
      <c r="O29" s="65" t="s">
        <v>734</v>
      </c>
    </row>
    <row r="30" customFormat="false" ht="39.75" hidden="false" customHeight="true" outlineLevel="0" collapsed="false">
      <c r="A30" s="11" t="s">
        <v>767</v>
      </c>
      <c r="B30" s="10" t="s">
        <v>683</v>
      </c>
      <c r="C30" s="10" t="s">
        <v>768</v>
      </c>
      <c r="D30" s="64" t="s">
        <v>729</v>
      </c>
      <c r="E30" s="36" t="n">
        <v>0.01</v>
      </c>
      <c r="F30" s="59" t="n">
        <v>0.18</v>
      </c>
      <c r="G30" s="50" t="n">
        <f aca="false">F30*'D2 Mercado por Region'!B9</f>
        <v>4503.6</v>
      </c>
      <c r="H30" s="62" t="s">
        <v>703</v>
      </c>
      <c r="I30" s="62" t="s">
        <v>716</v>
      </c>
      <c r="J30" s="50" t="n">
        <f aca="false">G30*'D1 Supuestos Demanda'!$B$6*'D1 Supuestos Demanda'!$B$7</f>
        <v>445.8564</v>
      </c>
      <c r="K30" s="51" t="n">
        <f aca="false">J30*'D1 Supuestos Demanda'!$B$8*E30</f>
        <v>2.4522102</v>
      </c>
      <c r="L30" s="52" t="n">
        <v>0.85</v>
      </c>
      <c r="M30" s="62" t="s">
        <v>703</v>
      </c>
      <c r="N30" s="53" t="s">
        <v>769</v>
      </c>
      <c r="O30" s="56" t="s">
        <v>274</v>
      </c>
    </row>
    <row r="31" customFormat="false" ht="39.75" hidden="false" customHeight="true" outlineLevel="0" collapsed="false">
      <c r="A31" s="11" t="s">
        <v>770</v>
      </c>
      <c r="B31" s="10" t="s">
        <v>683</v>
      </c>
      <c r="C31" s="10" t="s">
        <v>699</v>
      </c>
      <c r="D31" s="63" t="s">
        <v>707</v>
      </c>
      <c r="E31" s="36" t="n">
        <v>0.08</v>
      </c>
      <c r="F31" s="59" t="n">
        <v>0.16</v>
      </c>
      <c r="G31" s="50" t="n">
        <f aca="false">F31*'D2 Mercado por Region'!B9</f>
        <v>4003.2</v>
      </c>
      <c r="H31" s="62" t="s">
        <v>703</v>
      </c>
      <c r="I31" s="62" t="s">
        <v>716</v>
      </c>
      <c r="J31" s="50" t="n">
        <f aca="false">G31*'D1 Supuestos Demanda'!$B$6*'D1 Supuestos Demanda'!$B$7</f>
        <v>396.3168</v>
      </c>
      <c r="K31" s="51" t="n">
        <f aca="false">J31*'D1 Supuestos Demanda'!$B$8*E31</f>
        <v>17.4379392</v>
      </c>
      <c r="L31" s="52" t="n">
        <v>0.9</v>
      </c>
      <c r="M31" s="62" t="s">
        <v>703</v>
      </c>
      <c r="N31" s="53" t="s">
        <v>771</v>
      </c>
      <c r="O31" s="56" t="s">
        <v>274</v>
      </c>
    </row>
    <row r="32" customFormat="false" ht="39.75" hidden="false" customHeight="true" outlineLevel="0" collapsed="false">
      <c r="A32" s="11" t="s">
        <v>772</v>
      </c>
      <c r="B32" s="10" t="s">
        <v>683</v>
      </c>
      <c r="C32" s="10" t="s">
        <v>699</v>
      </c>
      <c r="D32" s="63" t="s">
        <v>707</v>
      </c>
      <c r="E32" s="36" t="n">
        <v>0.08</v>
      </c>
      <c r="F32" s="59" t="n">
        <v>0.12</v>
      </c>
      <c r="G32" s="50" t="n">
        <f aca="false">F32*'D2 Mercado por Region'!B9</f>
        <v>3002.4</v>
      </c>
      <c r="H32" s="62" t="s">
        <v>703</v>
      </c>
      <c r="I32" s="62" t="s">
        <v>716</v>
      </c>
      <c r="J32" s="50" t="n">
        <f aca="false">G32*'D1 Supuestos Demanda'!$B$6*'D1 Supuestos Demanda'!$B$7</f>
        <v>297.2376</v>
      </c>
      <c r="K32" s="51" t="n">
        <f aca="false">J32*'D1 Supuestos Demanda'!$B$8*E32</f>
        <v>13.0784544</v>
      </c>
      <c r="L32" s="52" t="n">
        <v>0.95</v>
      </c>
      <c r="M32" s="62" t="s">
        <v>703</v>
      </c>
      <c r="N32" s="53" t="s">
        <v>773</v>
      </c>
      <c r="O32" s="56" t="s">
        <v>274</v>
      </c>
    </row>
    <row r="33" customFormat="false" ht="39.75" hidden="false" customHeight="true" outlineLevel="0" collapsed="false">
      <c r="A33" s="11" t="s">
        <v>774</v>
      </c>
      <c r="B33" s="10" t="s">
        <v>683</v>
      </c>
      <c r="C33" s="10" t="s">
        <v>699</v>
      </c>
      <c r="D33" s="64" t="s">
        <v>729</v>
      </c>
      <c r="E33" s="36" t="n">
        <v>0.01</v>
      </c>
      <c r="F33" s="59" t="n">
        <v>0.1</v>
      </c>
      <c r="G33" s="50" t="n">
        <f aca="false">F33*'D2 Mercado por Region'!B9</f>
        <v>2502</v>
      </c>
      <c r="H33" s="62" t="s">
        <v>703</v>
      </c>
      <c r="I33" s="62" t="s">
        <v>716</v>
      </c>
      <c r="J33" s="50" t="n">
        <f aca="false">G33*'D1 Supuestos Demanda'!$B$6*'D1 Supuestos Demanda'!$B$7</f>
        <v>247.698</v>
      </c>
      <c r="K33" s="51" t="n">
        <f aca="false">J33*'D1 Supuestos Demanda'!$B$8*E33</f>
        <v>1.362339</v>
      </c>
      <c r="L33" s="52" t="n">
        <v>0.5</v>
      </c>
      <c r="M33" s="62" t="s">
        <v>703</v>
      </c>
      <c r="N33" s="53" t="s">
        <v>775</v>
      </c>
      <c r="O33" s="56" t="s">
        <v>274</v>
      </c>
    </row>
    <row r="34" customFormat="false" ht="39.75" hidden="false" customHeight="true" outlineLevel="0" collapsed="false">
      <c r="A34" s="11" t="s">
        <v>776</v>
      </c>
      <c r="B34" s="10" t="s">
        <v>683</v>
      </c>
      <c r="C34" s="10" t="s">
        <v>732</v>
      </c>
      <c r="D34" s="64" t="s">
        <v>729</v>
      </c>
      <c r="E34" s="36" t="n">
        <v>0.01</v>
      </c>
      <c r="F34" s="59" t="n">
        <v>0.44</v>
      </c>
      <c r="G34" s="50" t="n">
        <f aca="false">F34*'D2 Mercado por Region'!B9</f>
        <v>11008.8</v>
      </c>
      <c r="H34" s="62" t="s">
        <v>703</v>
      </c>
      <c r="I34" s="62" t="s">
        <v>716</v>
      </c>
      <c r="J34" s="50" t="n">
        <f aca="false">G34*'D1 Supuestos Demanda'!$B$6*'D1 Supuestos Demanda'!$B$7</f>
        <v>1089.8712</v>
      </c>
      <c r="K34" s="51" t="n">
        <f aca="false">J34*'D1 Supuestos Demanda'!$B$8*E34</f>
        <v>5.9942916</v>
      </c>
      <c r="L34" s="52" t="n">
        <v>0.4</v>
      </c>
      <c r="M34" s="62" t="s">
        <v>703</v>
      </c>
      <c r="N34" s="53" t="s">
        <v>777</v>
      </c>
      <c r="O34" s="65" t="s">
        <v>734</v>
      </c>
    </row>
    <row r="35" customFormat="false" ht="15" hidden="false" customHeight="false" outlineLevel="0" collapsed="false">
      <c r="A35" s="32" t="s">
        <v>778</v>
      </c>
      <c r="B35" s="38"/>
      <c r="C35" s="38"/>
      <c r="D35" s="38"/>
      <c r="E35" s="38"/>
      <c r="F35" s="38"/>
      <c r="G35" s="57" t="n">
        <f aca="false">SUM(G5:G34)</f>
        <v>375570</v>
      </c>
      <c r="H35" s="38"/>
      <c r="I35" s="38"/>
      <c r="J35" s="57" t="n">
        <f aca="false">SUM(J5:J34)</f>
        <v>37181.43</v>
      </c>
      <c r="K35" s="57" t="n">
        <f aca="false">SUM(K5:K34)</f>
        <v>2938.5806688315</v>
      </c>
      <c r="L35" s="38"/>
      <c r="M35" s="38"/>
      <c r="N35" s="38"/>
      <c r="O35" s="38"/>
    </row>
    <row r="37" customFormat="false" ht="15" hidden="false" customHeight="false" outlineLevel="0" collapsed="false">
      <c r="A37" s="44" t="s">
        <v>779</v>
      </c>
    </row>
  </sheetData>
  <autoFilter ref="A4:O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18.55" hidden="false" customHeight="false" outlineLevel="0" collapsed="false">
      <c r="A1" s="1" t="s">
        <v>780</v>
      </c>
    </row>
    <row r="2" customFormat="false" ht="15" hidden="false" customHeight="false" outlineLevel="0" collapsed="false">
      <c r="A2" s="2" t="s">
        <v>781</v>
      </c>
    </row>
    <row r="4" customFormat="false" ht="15" hidden="false" customHeight="false" outlineLevel="0" collapsed="false">
      <c r="A4" s="29" t="s">
        <v>782</v>
      </c>
    </row>
    <row r="5" customFormat="false" ht="33.75" hidden="false" customHeight="true" outlineLevel="0" collapsed="false">
      <c r="A5" s="9" t="s">
        <v>247</v>
      </c>
      <c r="B5" s="9" t="s">
        <v>783</v>
      </c>
      <c r="C5" s="9" t="s">
        <v>575</v>
      </c>
      <c r="D5" s="9" t="s">
        <v>784</v>
      </c>
    </row>
    <row r="6" customFormat="false" ht="15" hidden="false" customHeight="false" outlineLevel="0" collapsed="false">
      <c r="A6" s="4" t="s">
        <v>270</v>
      </c>
      <c r="B6" s="8" t="n">
        <v>0.6</v>
      </c>
      <c r="C6" s="30" t="n">
        <f aca="false">'Modelo de Suscripcion'!F36</f>
        <v>246</v>
      </c>
      <c r="D6" s="23" t="n">
        <f aca="false">B6*C6</f>
        <v>147.6</v>
      </c>
    </row>
    <row r="7" customFormat="false" ht="15" hidden="false" customHeight="false" outlineLevel="0" collapsed="false">
      <c r="A7" s="4" t="s">
        <v>256</v>
      </c>
      <c r="B7" s="8" t="n">
        <v>0.3</v>
      </c>
      <c r="C7" s="30" t="n">
        <f aca="false">'Modelo de Suscripcion'!F37</f>
        <v>466</v>
      </c>
      <c r="D7" s="23" t="n">
        <f aca="false">B7*C7</f>
        <v>139.8</v>
      </c>
    </row>
    <row r="8" customFormat="false" ht="15" hidden="false" customHeight="false" outlineLevel="0" collapsed="false">
      <c r="A8" s="4" t="s">
        <v>353</v>
      </c>
      <c r="B8" s="8" t="n">
        <v>0.1</v>
      </c>
      <c r="C8" s="30" t="n">
        <f aca="false">'Modelo de Suscripcion'!F38</f>
        <v>777</v>
      </c>
      <c r="D8" s="23" t="n">
        <f aca="false">B8*C8</f>
        <v>77.7</v>
      </c>
    </row>
    <row r="9" customFormat="false" ht="15" hidden="false" customHeight="false" outlineLevel="0" collapsed="false">
      <c r="A9" s="39" t="s">
        <v>785</v>
      </c>
      <c r="B9" s="40"/>
      <c r="C9" s="40"/>
      <c r="D9" s="33" t="n">
        <f aca="false">SUM(D6:D8)</f>
        <v>365.1</v>
      </c>
    </row>
    <row r="11" customFormat="false" ht="15" hidden="false" customHeight="false" outlineLevel="0" collapsed="false">
      <c r="A11" s="29" t="s">
        <v>786</v>
      </c>
    </row>
    <row r="12" customFormat="false" ht="33.75" hidden="false" customHeight="true" outlineLevel="0" collapsed="false">
      <c r="A12" s="9" t="s">
        <v>663</v>
      </c>
      <c r="B12" s="9" t="s">
        <v>783</v>
      </c>
      <c r="C12" s="9" t="s">
        <v>670</v>
      </c>
      <c r="D12" s="9" t="s">
        <v>787</v>
      </c>
      <c r="E12" s="9" t="s">
        <v>788</v>
      </c>
    </row>
    <row r="13" customFormat="false" ht="15" hidden="false" customHeight="false" outlineLevel="0" collapsed="false">
      <c r="A13" s="4" t="s">
        <v>680</v>
      </c>
      <c r="B13" s="8" t="n">
        <v>0.55</v>
      </c>
      <c r="C13" s="66" t="n">
        <f aca="false">'D2 Mercado por Region'!H8</f>
        <v>0.6</v>
      </c>
      <c r="D13" s="23" t="n">
        <f aca="false">$D$9*12*C13</f>
        <v>2628.72</v>
      </c>
      <c r="E13" s="23" t="n">
        <f aca="false">B13*D13</f>
        <v>1445.796</v>
      </c>
    </row>
    <row r="14" customFormat="false" ht="15" hidden="false" customHeight="false" outlineLevel="0" collapsed="false">
      <c r="A14" s="4" t="s">
        <v>678</v>
      </c>
      <c r="B14" s="8" t="n">
        <v>0.18</v>
      </c>
      <c r="C14" s="66" t="n">
        <f aca="false">'D2 Mercado por Region'!H7</f>
        <v>0.95</v>
      </c>
      <c r="D14" s="23" t="n">
        <f aca="false">$D$9*12*C14</f>
        <v>4162.14</v>
      </c>
      <c r="E14" s="23" t="n">
        <f aca="false">B14*D14</f>
        <v>749.1852</v>
      </c>
    </row>
    <row r="15" customFormat="false" ht="15" hidden="false" customHeight="false" outlineLevel="0" collapsed="false">
      <c r="A15" s="4" t="s">
        <v>672</v>
      </c>
      <c r="B15" s="8" t="n">
        <v>0.15</v>
      </c>
      <c r="C15" s="66" t="n">
        <f aca="false">'D2 Mercado por Region'!H5</f>
        <v>1</v>
      </c>
      <c r="D15" s="23" t="n">
        <f aca="false">$D$9*12*C15</f>
        <v>4381.2</v>
      </c>
      <c r="E15" s="23" t="n">
        <f aca="false">B15*D15</f>
        <v>657.18</v>
      </c>
    </row>
    <row r="16" customFormat="false" ht="15" hidden="false" customHeight="false" outlineLevel="0" collapsed="false">
      <c r="A16" s="4" t="s">
        <v>675</v>
      </c>
      <c r="B16" s="8" t="n">
        <v>0.1</v>
      </c>
      <c r="C16" s="66" t="n">
        <f aca="false">'D2 Mercado por Region'!H6</f>
        <v>0.7</v>
      </c>
      <c r="D16" s="23" t="n">
        <f aca="false">$D$9*12*C16</f>
        <v>3066.84</v>
      </c>
      <c r="E16" s="23" t="n">
        <f aca="false">B16*D16</f>
        <v>306.684</v>
      </c>
    </row>
    <row r="17" customFormat="false" ht="15" hidden="false" customHeight="false" outlineLevel="0" collapsed="false">
      <c r="A17" s="4" t="s">
        <v>683</v>
      </c>
      <c r="B17" s="8" t="n">
        <v>0.02</v>
      </c>
      <c r="C17" s="66" t="n">
        <f aca="false">'D2 Mercado por Region'!H9</f>
        <v>0.55</v>
      </c>
      <c r="D17" s="23" t="n">
        <f aca="false">$D$9*12*C17</f>
        <v>2409.66</v>
      </c>
      <c r="E17" s="23" t="n">
        <f aca="false">B17*D17</f>
        <v>48.1932</v>
      </c>
    </row>
    <row r="18" customFormat="false" ht="15" hidden="false" customHeight="false" outlineLevel="0" collapsed="false">
      <c r="A18" s="39" t="s">
        <v>789</v>
      </c>
      <c r="B18" s="40"/>
      <c r="C18" s="40"/>
      <c r="D18" s="40"/>
      <c r="E18" s="42" t="n">
        <f aca="false">SUM(E13:E17)</f>
        <v>3207.0384</v>
      </c>
    </row>
    <row r="20" customFormat="false" ht="15" hidden="false" customHeight="false" outlineLevel="0" collapsed="false">
      <c r="A20" s="29" t="s">
        <v>790</v>
      </c>
    </row>
    <row r="21" customFormat="false" ht="15" hidden="false" customHeight="false" outlineLevel="0" collapsed="false">
      <c r="A21" s="2" t="s">
        <v>791</v>
      </c>
    </row>
    <row r="22" customFormat="false" ht="33.75" hidden="false" customHeight="true" outlineLevel="0" collapsed="false">
      <c r="A22" s="9" t="s">
        <v>792</v>
      </c>
      <c r="B22" s="9" t="s">
        <v>793</v>
      </c>
      <c r="C22" s="9" t="s">
        <v>794</v>
      </c>
      <c r="D22" s="9" t="s">
        <v>795</v>
      </c>
      <c r="E22" s="9" t="s">
        <v>796</v>
      </c>
    </row>
    <row r="23" customFormat="false" ht="15" hidden="false" customHeight="false" outlineLevel="0" collapsed="false">
      <c r="A23" s="39" t="s">
        <v>797</v>
      </c>
      <c r="B23" s="67" t="n">
        <f aca="false">'D1 Supuestos Demanda'!$B$12*0.109090909090909</f>
        <v>60</v>
      </c>
      <c r="C23" s="67" t="n">
        <f aca="false">(B23/12)*(1-'D1 Supuestos Demanda'!$B$9)^0*IF('D1 Supuestos Demanda'!$B$9=0,12,(1-(1-'D1 Supuestos Demanda'!$B$9)^12)/'D1 Supuestos Demanda'!$B$9)</f>
        <v>48.4112803337791</v>
      </c>
      <c r="D23" s="67" t="n">
        <f aca="false">(B23/12)*(1-'D1 Supuestos Demanda'!$B$9)^12*IF('D1 Supuestos Demanda'!$B$9=0,12,(1-(1-'D1 Supuestos Demanda'!$B$9)^12)/'D1 Supuestos Demanda'!$B$9)</f>
        <v>29.6620638253331</v>
      </c>
      <c r="E23" s="67" t="n">
        <f aca="false">(B23/12)*(1-'D1 Supuestos Demanda'!$B$9)^24*IF('D1 Supuestos Demanda'!$B$9=0,12,(1-(1-'D1 Supuestos Demanda'!$B$9)^12)/'D1 Supuestos Demanda'!$B$9)</f>
        <v>18.1742359283199</v>
      </c>
    </row>
    <row r="24" customFormat="false" ht="15" hidden="false" customHeight="false" outlineLevel="0" collapsed="false">
      <c r="A24" s="39" t="s">
        <v>798</v>
      </c>
      <c r="B24" s="67" t="n">
        <f aca="false">'D1 Supuestos Demanda'!$B$12*0.290909090909091</f>
        <v>160</v>
      </c>
      <c r="C24" s="67" t="n">
        <v>0</v>
      </c>
      <c r="D24" s="67" t="n">
        <f aca="false">(B24/12)*(1-'D1 Supuestos Demanda'!$B$9)^0*IF('D1 Supuestos Demanda'!$B$9=0,12,(1-(1-'D1 Supuestos Demanda'!$B$9)^12)/'D1 Supuestos Demanda'!$B$9)</f>
        <v>129.096747556744</v>
      </c>
      <c r="E24" s="67" t="n">
        <f aca="false">(B24/12)*(1-'D1 Supuestos Demanda'!$B$9)^12*IF('D1 Supuestos Demanda'!$B$9=0,12,(1-(1-'D1 Supuestos Demanda'!$B$9)^12)/'D1 Supuestos Demanda'!$B$9)</f>
        <v>79.098836867555</v>
      </c>
    </row>
    <row r="25" customFormat="false" ht="15" hidden="false" customHeight="false" outlineLevel="0" collapsed="false">
      <c r="A25" s="39" t="s">
        <v>799</v>
      </c>
      <c r="B25" s="67" t="n">
        <f aca="false">'D1 Supuestos Demanda'!$B$12*0.6</f>
        <v>330</v>
      </c>
      <c r="C25" s="67" t="n">
        <v>0</v>
      </c>
      <c r="D25" s="67" t="n">
        <v>0</v>
      </c>
      <c r="E25" s="67" t="n">
        <f aca="false">(B25/12)*(1-'D1 Supuestos Demanda'!$B$9)^0*IF('D1 Supuestos Demanda'!$B$9=0,12,(1-(1-'D1 Supuestos Demanda'!$B$9)^12)/'D1 Supuestos Demanda'!$B$9)</f>
        <v>266.262041835785</v>
      </c>
    </row>
    <row r="26" customFormat="false" ht="15" hidden="false" customHeight="false" outlineLevel="0" collapsed="false">
      <c r="A26" s="39" t="s">
        <v>800</v>
      </c>
      <c r="B26" s="68" t="n">
        <f aca="false">SUM(B23:B25)</f>
        <v>550</v>
      </c>
      <c r="C26" s="57" t="n">
        <f aca="false">ROUND(SUM(C23:C25),0)</f>
        <v>48</v>
      </c>
      <c r="D26" s="57" t="n">
        <f aca="false">ROUND(SUM(D23:D25),0)</f>
        <v>159</v>
      </c>
      <c r="E26" s="57" t="n">
        <f aca="false">ROUND(SUM(E23:E25),0)</f>
        <v>364</v>
      </c>
    </row>
    <row r="27" customFormat="false" ht="15" hidden="false" customHeight="false" outlineLevel="0" collapsed="false">
      <c r="A27" s="39" t="s">
        <v>801</v>
      </c>
      <c r="B27" s="40"/>
      <c r="C27" s="42" t="n">
        <f aca="false">ROUND(C26*$E$18,0)</f>
        <v>153938</v>
      </c>
      <c r="D27" s="42" t="n">
        <f aca="false">ROUND(D26*$E$18,0)</f>
        <v>509919</v>
      </c>
      <c r="E27" s="42" t="n">
        <f aca="false">ROUND(E26*$E$18,0)</f>
        <v>1167362</v>
      </c>
    </row>
    <row r="28" customFormat="false" ht="15" hidden="false" customHeight="false" outlineLevel="0" collapsed="false">
      <c r="A28" s="39" t="s">
        <v>802</v>
      </c>
      <c r="B28" s="40"/>
      <c r="C28" s="40"/>
      <c r="D28" s="40"/>
      <c r="E28" s="69" t="n">
        <f aca="false">E26/B26</f>
        <v>0.661818181818182</v>
      </c>
    </row>
    <row r="30" customFormat="false" ht="15" hidden="false" customHeight="false" outlineLevel="0" collapsed="false">
      <c r="A30" s="29" t="s">
        <v>803</v>
      </c>
    </row>
    <row r="31" customFormat="false" ht="15" hidden="false" customHeight="false" outlineLevel="0" collapsed="false">
      <c r="A31" s="39" t="s">
        <v>804</v>
      </c>
      <c r="B31" s="70" t="n">
        <f aca="false">1/'D1 Supuestos Demanda'!$B$9</f>
        <v>25</v>
      </c>
      <c r="C31" s="24" t="s">
        <v>805</v>
      </c>
    </row>
    <row r="32" customFormat="false" ht="15" hidden="false" customHeight="false" outlineLevel="0" collapsed="false">
      <c r="A32" s="39" t="s">
        <v>806</v>
      </c>
      <c r="B32" s="42" t="n">
        <f aca="false">($E$18/12)*'D1 Supuestos Demanda'!$B$10*(1/'D1 Supuestos Demanda'!$B$9)</f>
        <v>5010.9975</v>
      </c>
      <c r="C32" s="24" t="s">
        <v>807</v>
      </c>
    </row>
    <row r="33" customFormat="false" ht="15" hidden="false" customHeight="false" outlineLevel="0" collapsed="false">
      <c r="A33" s="39" t="s">
        <v>808</v>
      </c>
      <c r="B33" s="42" t="n">
        <f aca="false">'D1 Supuestos Demanda'!$B$11</f>
        <v>1200</v>
      </c>
      <c r="C33" s="24" t="s">
        <v>657</v>
      </c>
    </row>
    <row r="34" customFormat="false" ht="15" hidden="false" customHeight="false" outlineLevel="0" collapsed="false">
      <c r="A34" s="39" t="s">
        <v>809</v>
      </c>
      <c r="B34" s="70" t="n">
        <f aca="false">B32/B33</f>
        <v>4.17583125</v>
      </c>
      <c r="C34" s="24" t="s">
        <v>810</v>
      </c>
    </row>
    <row r="35" customFormat="false" ht="15" hidden="false" customHeight="false" outlineLevel="0" collapsed="false">
      <c r="A35" s="39" t="s">
        <v>811</v>
      </c>
      <c r="B35" s="70" t="n">
        <f aca="false">'D1 Supuestos Demanda'!$B$11/(($E$18/12)*'D1 Supuestos Demanda'!$B$10)</f>
        <v>5.98683196309717</v>
      </c>
      <c r="C35" s="24" t="s">
        <v>812</v>
      </c>
    </row>
    <row r="36" customFormat="false" ht="15" hidden="false" customHeight="false" outlineLevel="0" collapsed="false">
      <c r="A36" s="39" t="s">
        <v>813</v>
      </c>
      <c r="B36" s="71" t="n">
        <f aca="false">'D2 Mercado por Region'!G10</f>
        <v>3404.26845</v>
      </c>
      <c r="C36" s="24" t="s">
        <v>641</v>
      </c>
    </row>
    <row r="37" customFormat="false" ht="15" hidden="false" customHeight="false" outlineLevel="0" collapsed="false">
      <c r="A37" s="39" t="s">
        <v>814</v>
      </c>
      <c r="B37" s="72" t="n">
        <f aca="false">E27/('D2 Mercado por Region'!G10*1000000)</f>
        <v>0.000342911264826956</v>
      </c>
      <c r="C37" s="24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7" min="6" style="0" width="48"/>
    <col collapsed="false" customWidth="true" hidden="false" outlineLevel="0" max="8" min="8" style="0" width="56"/>
  </cols>
  <sheetData>
    <row r="1" customFormat="false" ht="18.55" hidden="false" customHeight="false" outlineLevel="0" collapsed="false">
      <c r="A1" s="1" t="s">
        <v>816</v>
      </c>
    </row>
    <row r="4" customFormat="false" ht="33.75" hidden="false" customHeight="true" outlineLevel="0" collapsed="false">
      <c r="A4" s="9" t="s">
        <v>817</v>
      </c>
      <c r="B4" s="9" t="s">
        <v>818</v>
      </c>
      <c r="C4" s="9" t="s">
        <v>819</v>
      </c>
      <c r="D4" s="9" t="s">
        <v>820</v>
      </c>
      <c r="E4" s="9" t="s">
        <v>821</v>
      </c>
      <c r="F4" s="9" t="s">
        <v>822</v>
      </c>
      <c r="G4" s="9" t="s">
        <v>823</v>
      </c>
      <c r="H4" s="9" t="s">
        <v>824</v>
      </c>
    </row>
    <row r="5" customFormat="false" ht="72" hidden="false" customHeight="true" outlineLevel="0" collapsed="false">
      <c r="A5" s="73" t="s">
        <v>825</v>
      </c>
      <c r="B5" s="12" t="s">
        <v>826</v>
      </c>
      <c r="C5" s="12" t="s">
        <v>827</v>
      </c>
      <c r="D5" s="12" t="s">
        <v>828</v>
      </c>
      <c r="E5" s="12" t="s">
        <v>829</v>
      </c>
      <c r="F5" s="12" t="s">
        <v>830</v>
      </c>
      <c r="G5" s="12" t="s">
        <v>831</v>
      </c>
      <c r="H5" s="12" t="s">
        <v>832</v>
      </c>
    </row>
    <row r="6" customFormat="false" ht="72" hidden="false" customHeight="true" outlineLevel="0" collapsed="false">
      <c r="A6" s="73" t="s">
        <v>833</v>
      </c>
      <c r="B6" s="12" t="s">
        <v>834</v>
      </c>
      <c r="C6" s="12" t="s">
        <v>835</v>
      </c>
      <c r="D6" s="12" t="s">
        <v>587</v>
      </c>
      <c r="E6" s="12" t="s">
        <v>836</v>
      </c>
      <c r="F6" s="12" t="s">
        <v>837</v>
      </c>
      <c r="G6" s="12" t="s">
        <v>838</v>
      </c>
      <c r="H6" s="12" t="s">
        <v>839</v>
      </c>
    </row>
    <row r="7" customFormat="false" ht="72" hidden="false" customHeight="true" outlineLevel="0" collapsed="false">
      <c r="A7" s="73" t="s">
        <v>840</v>
      </c>
      <c r="B7" s="12" t="s">
        <v>841</v>
      </c>
      <c r="C7" s="12" t="s">
        <v>842</v>
      </c>
      <c r="D7" s="12" t="s">
        <v>843</v>
      </c>
      <c r="E7" s="12" t="s">
        <v>844</v>
      </c>
      <c r="F7" s="12" t="s">
        <v>845</v>
      </c>
      <c r="G7" s="12" t="s">
        <v>846</v>
      </c>
      <c r="H7" s="12" t="s">
        <v>847</v>
      </c>
    </row>
    <row r="8" customFormat="false" ht="72" hidden="false" customHeight="true" outlineLevel="0" collapsed="false">
      <c r="A8" s="73" t="s">
        <v>848</v>
      </c>
      <c r="B8" s="12" t="s">
        <v>849</v>
      </c>
      <c r="C8" s="12" t="s">
        <v>850</v>
      </c>
      <c r="D8" s="12" t="s">
        <v>593</v>
      </c>
      <c r="E8" s="12" t="s">
        <v>851</v>
      </c>
      <c r="F8" s="12" t="s">
        <v>852</v>
      </c>
      <c r="G8" s="12" t="s">
        <v>853</v>
      </c>
      <c r="H8" s="12" t="s">
        <v>854</v>
      </c>
    </row>
    <row r="9" customFormat="false" ht="72" hidden="false" customHeight="true" outlineLevel="0" collapsed="false">
      <c r="A9" s="73" t="s">
        <v>855</v>
      </c>
      <c r="B9" s="12" t="s">
        <v>856</v>
      </c>
      <c r="C9" s="12" t="s">
        <v>835</v>
      </c>
      <c r="D9" s="12" t="s">
        <v>599</v>
      </c>
      <c r="E9" s="12" t="s">
        <v>857</v>
      </c>
      <c r="F9" s="12" t="s">
        <v>858</v>
      </c>
      <c r="G9" s="12" t="s">
        <v>859</v>
      </c>
      <c r="H9" s="12" t="s">
        <v>860</v>
      </c>
    </row>
    <row r="10" customFormat="false" ht="72" hidden="false" customHeight="true" outlineLevel="0" collapsed="false">
      <c r="A10" s="73" t="s">
        <v>861</v>
      </c>
      <c r="B10" s="12" t="s">
        <v>862</v>
      </c>
      <c r="C10" s="12" t="s">
        <v>863</v>
      </c>
      <c r="D10" s="12" t="s">
        <v>864</v>
      </c>
      <c r="E10" s="12" t="s">
        <v>865</v>
      </c>
      <c r="F10" s="12" t="s">
        <v>866</v>
      </c>
      <c r="G10" s="12" t="s">
        <v>867</v>
      </c>
      <c r="H10" s="12" t="s">
        <v>868</v>
      </c>
    </row>
    <row r="13" customFormat="false" ht="15" hidden="false" customHeight="false" outlineLevel="0" collapsed="false">
      <c r="A13" s="29" t="s">
        <v>869</v>
      </c>
    </row>
    <row r="14" customFormat="false" ht="33.75" hidden="false" customHeight="true" outlineLevel="0" collapsed="false">
      <c r="A14" s="9" t="s">
        <v>252</v>
      </c>
      <c r="B14" s="9" t="s">
        <v>870</v>
      </c>
      <c r="C14" s="9" t="s">
        <v>871</v>
      </c>
      <c r="D14" s="9" t="s">
        <v>872</v>
      </c>
      <c r="E14" s="9" t="s">
        <v>873</v>
      </c>
      <c r="F14" s="9" t="s">
        <v>874</v>
      </c>
    </row>
    <row r="15" customFormat="false" ht="49.5" hidden="false" customHeight="true" outlineLevel="0" collapsed="false">
      <c r="A15" s="73" t="s">
        <v>875</v>
      </c>
      <c r="B15" s="12" t="s">
        <v>876</v>
      </c>
      <c r="C15" s="12" t="s">
        <v>729</v>
      </c>
      <c r="D15" s="12" t="s">
        <v>716</v>
      </c>
      <c r="E15" s="12" t="s">
        <v>877</v>
      </c>
      <c r="F15" s="12" t="s">
        <v>878</v>
      </c>
    </row>
    <row r="16" customFormat="false" ht="49.5" hidden="false" customHeight="true" outlineLevel="0" collapsed="false">
      <c r="A16" s="73" t="s">
        <v>879</v>
      </c>
      <c r="B16" s="12" t="s">
        <v>880</v>
      </c>
      <c r="C16" s="12" t="s">
        <v>881</v>
      </c>
      <c r="D16" s="12" t="s">
        <v>882</v>
      </c>
      <c r="E16" s="12" t="s">
        <v>883</v>
      </c>
      <c r="F16" s="12" t="s">
        <v>884</v>
      </c>
    </row>
    <row r="17" customFormat="false" ht="49.5" hidden="false" customHeight="true" outlineLevel="0" collapsed="false">
      <c r="A17" s="73" t="s">
        <v>885</v>
      </c>
      <c r="B17" s="12" t="s">
        <v>886</v>
      </c>
      <c r="C17" s="12" t="s">
        <v>887</v>
      </c>
      <c r="D17" s="12" t="s">
        <v>888</v>
      </c>
      <c r="E17" s="12" t="s">
        <v>889</v>
      </c>
      <c r="F17" s="12" t="s">
        <v>890</v>
      </c>
    </row>
    <row r="18" customFormat="false" ht="49.5" hidden="false" customHeight="true" outlineLevel="0" collapsed="false">
      <c r="A18" s="73" t="s">
        <v>891</v>
      </c>
      <c r="B18" s="12" t="s">
        <v>892</v>
      </c>
      <c r="C18" s="12" t="s">
        <v>893</v>
      </c>
      <c r="D18" s="12" t="s">
        <v>894</v>
      </c>
      <c r="E18" s="12" t="s">
        <v>895</v>
      </c>
      <c r="F18" s="12" t="s">
        <v>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54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897</v>
      </c>
    </row>
    <row r="2" customFormat="false" ht="15" hidden="false" customHeight="false" outlineLevel="0" collapsed="false">
      <c r="A2" s="2" t="s">
        <v>898</v>
      </c>
    </row>
    <row r="4" customFormat="false" ht="15" hidden="false" customHeight="false" outlineLevel="0" collapsed="false">
      <c r="A4" s="29" t="s">
        <v>899</v>
      </c>
    </row>
    <row r="5" customFormat="false" ht="33.75" hidden="false" customHeight="true" outlineLevel="0" collapsed="false">
      <c r="A5" s="9" t="s">
        <v>900</v>
      </c>
      <c r="B5" s="9" t="s">
        <v>901</v>
      </c>
      <c r="C5" s="9" t="s">
        <v>3</v>
      </c>
      <c r="D5" s="9" t="s">
        <v>4</v>
      </c>
      <c r="E5" s="9" t="s">
        <v>697</v>
      </c>
      <c r="F5" s="9" t="s">
        <v>254</v>
      </c>
      <c r="G5" s="9" t="s">
        <v>41</v>
      </c>
    </row>
    <row r="6" customFormat="false" ht="33.75" hidden="false" customHeight="true" outlineLevel="0" collapsed="false">
      <c r="A6" s="11" t="s">
        <v>902</v>
      </c>
      <c r="B6" s="10" t="s">
        <v>903</v>
      </c>
      <c r="C6" s="12" t="s">
        <v>904</v>
      </c>
      <c r="D6" s="12" t="s">
        <v>905</v>
      </c>
      <c r="E6" s="12" t="s">
        <v>906</v>
      </c>
      <c r="F6" s="12" t="s">
        <v>907</v>
      </c>
      <c r="G6" s="74" t="s">
        <v>260</v>
      </c>
    </row>
    <row r="7" customFormat="false" ht="33.75" hidden="false" customHeight="true" outlineLevel="0" collapsed="false">
      <c r="A7" s="11" t="s">
        <v>698</v>
      </c>
      <c r="B7" s="10" t="s">
        <v>908</v>
      </c>
      <c r="C7" s="12" t="s">
        <v>909</v>
      </c>
      <c r="D7" s="12" t="s">
        <v>905</v>
      </c>
      <c r="E7" s="12" t="s">
        <v>910</v>
      </c>
      <c r="F7" s="12" t="s">
        <v>911</v>
      </c>
      <c r="G7" s="74" t="s">
        <v>260</v>
      </c>
    </row>
    <row r="8" customFormat="false" ht="33.75" hidden="false" customHeight="true" outlineLevel="0" collapsed="false">
      <c r="A8" s="11" t="s">
        <v>912</v>
      </c>
      <c r="B8" s="10" t="s">
        <v>913</v>
      </c>
      <c r="C8" s="12" t="s">
        <v>914</v>
      </c>
      <c r="D8" s="12" t="s">
        <v>905</v>
      </c>
      <c r="E8" s="12" t="s">
        <v>915</v>
      </c>
      <c r="F8" s="12" t="s">
        <v>916</v>
      </c>
      <c r="G8" s="75" t="s">
        <v>274</v>
      </c>
    </row>
    <row r="9" customFormat="false" ht="33.75" hidden="false" customHeight="true" outlineLevel="0" collapsed="false">
      <c r="A9" s="11" t="s">
        <v>672</v>
      </c>
      <c r="B9" s="10" t="s">
        <v>917</v>
      </c>
      <c r="C9" s="12" t="s">
        <v>918</v>
      </c>
      <c r="D9" s="12" t="s">
        <v>919</v>
      </c>
      <c r="E9" s="12" t="s">
        <v>920</v>
      </c>
      <c r="F9" s="12" t="s">
        <v>921</v>
      </c>
      <c r="G9" s="74" t="s">
        <v>260</v>
      </c>
    </row>
    <row r="10" customFormat="false" ht="33.75" hidden="false" customHeight="true" outlineLevel="0" collapsed="false">
      <c r="A10" s="11" t="s">
        <v>761</v>
      </c>
      <c r="B10" s="10" t="s">
        <v>922</v>
      </c>
      <c r="C10" s="12" t="s">
        <v>923</v>
      </c>
      <c r="D10" s="12" t="s">
        <v>905</v>
      </c>
      <c r="E10" s="12" t="s">
        <v>924</v>
      </c>
      <c r="F10" s="12" t="s">
        <v>925</v>
      </c>
      <c r="G10" s="74" t="s">
        <v>260</v>
      </c>
    </row>
    <row r="11" customFormat="false" ht="33.75" hidden="false" customHeight="true" outlineLevel="0" collapsed="false">
      <c r="A11" s="11" t="s">
        <v>755</v>
      </c>
      <c r="B11" s="10" t="s">
        <v>926</v>
      </c>
      <c r="C11" s="12" t="s">
        <v>927</v>
      </c>
      <c r="D11" s="12" t="s">
        <v>905</v>
      </c>
      <c r="E11" s="12" t="s">
        <v>928</v>
      </c>
      <c r="F11" s="12" t="s">
        <v>929</v>
      </c>
      <c r="G11" s="74" t="s">
        <v>260</v>
      </c>
    </row>
    <row r="12" customFormat="false" ht="33.75" hidden="false" customHeight="true" outlineLevel="0" collapsed="false">
      <c r="A12" s="11" t="s">
        <v>763</v>
      </c>
      <c r="B12" s="10" t="s">
        <v>922</v>
      </c>
      <c r="C12" s="12" t="s">
        <v>930</v>
      </c>
      <c r="D12" s="12" t="s">
        <v>905</v>
      </c>
      <c r="E12" s="12" t="s">
        <v>931</v>
      </c>
      <c r="F12" s="12" t="s">
        <v>932</v>
      </c>
      <c r="G12" s="74" t="s">
        <v>260</v>
      </c>
    </row>
    <row r="13" customFormat="false" ht="33.75" hidden="false" customHeight="true" outlineLevel="0" collapsed="false">
      <c r="A13" s="11" t="s">
        <v>757</v>
      </c>
      <c r="B13" s="10" t="s">
        <v>933</v>
      </c>
      <c r="C13" s="12" t="s">
        <v>934</v>
      </c>
      <c r="D13" s="12" t="s">
        <v>935</v>
      </c>
      <c r="E13" s="12" t="s">
        <v>936</v>
      </c>
      <c r="F13" s="12" t="s">
        <v>937</v>
      </c>
      <c r="G13" s="74" t="s">
        <v>260</v>
      </c>
    </row>
    <row r="16" customFormat="false" ht="15" hidden="false" customHeight="false" outlineLevel="0" collapsed="false">
      <c r="A16" s="29" t="s">
        <v>938</v>
      </c>
    </row>
    <row r="17" customFormat="false" ht="33.75" hidden="false" customHeight="true" outlineLevel="0" collapsed="false">
      <c r="A17" s="9" t="s">
        <v>901</v>
      </c>
      <c r="B17" s="9" t="s">
        <v>3</v>
      </c>
      <c r="C17" s="9" t="s">
        <v>4</v>
      </c>
      <c r="D17" s="9" t="s">
        <v>939</v>
      </c>
      <c r="E17" s="9" t="s">
        <v>254</v>
      </c>
      <c r="F17" s="9" t="s">
        <v>41</v>
      </c>
    </row>
    <row r="18" customFormat="false" ht="33.75" hidden="false" customHeight="true" outlineLevel="0" collapsed="false">
      <c r="A18" s="11" t="s">
        <v>940</v>
      </c>
      <c r="B18" s="10" t="s">
        <v>941</v>
      </c>
      <c r="C18" s="12" t="s">
        <v>942</v>
      </c>
      <c r="D18" s="12" t="s">
        <v>943</v>
      </c>
      <c r="E18" s="12" t="s">
        <v>944</v>
      </c>
      <c r="F18" s="74" t="s">
        <v>260</v>
      </c>
    </row>
    <row r="19" customFormat="false" ht="33.75" hidden="false" customHeight="true" outlineLevel="0" collapsed="false">
      <c r="A19" s="11" t="s">
        <v>945</v>
      </c>
      <c r="B19" s="10" t="s">
        <v>946</v>
      </c>
      <c r="C19" s="12" t="s">
        <v>942</v>
      </c>
      <c r="D19" s="12" t="s">
        <v>947</v>
      </c>
      <c r="E19" s="12" t="s">
        <v>944</v>
      </c>
      <c r="F19" s="74" t="s">
        <v>260</v>
      </c>
    </row>
    <row r="20" customFormat="false" ht="33.75" hidden="false" customHeight="true" outlineLevel="0" collapsed="false">
      <c r="A20" s="11" t="s">
        <v>948</v>
      </c>
      <c r="B20" s="10" t="s">
        <v>949</v>
      </c>
      <c r="C20" s="12" t="s">
        <v>942</v>
      </c>
      <c r="D20" s="12" t="s">
        <v>950</v>
      </c>
      <c r="E20" s="12" t="s">
        <v>944</v>
      </c>
      <c r="F20" s="74" t="s">
        <v>260</v>
      </c>
    </row>
    <row r="21" customFormat="false" ht="33.75" hidden="false" customHeight="true" outlineLevel="0" collapsed="false">
      <c r="A21" s="11" t="s">
        <v>951</v>
      </c>
      <c r="B21" s="10" t="s">
        <v>952</v>
      </c>
      <c r="C21" s="12" t="s">
        <v>942</v>
      </c>
      <c r="D21" s="12" t="s">
        <v>953</v>
      </c>
      <c r="E21" s="12" t="s">
        <v>944</v>
      </c>
      <c r="F21" s="74" t="s">
        <v>260</v>
      </c>
    </row>
    <row r="22" customFormat="false" ht="33.75" hidden="false" customHeight="true" outlineLevel="0" collapsed="false">
      <c r="A22" s="11" t="s">
        <v>954</v>
      </c>
      <c r="B22" s="10" t="s">
        <v>955</v>
      </c>
      <c r="C22" s="12" t="s">
        <v>7</v>
      </c>
      <c r="D22" s="12" t="s">
        <v>956</v>
      </c>
      <c r="E22" s="12" t="s">
        <v>957</v>
      </c>
      <c r="F22" s="74" t="s">
        <v>260</v>
      </c>
    </row>
    <row r="23" customFormat="false" ht="33.75" hidden="false" customHeight="true" outlineLevel="0" collapsed="false">
      <c r="A23" s="11" t="s">
        <v>958</v>
      </c>
      <c r="B23" s="10" t="s">
        <v>959</v>
      </c>
      <c r="C23" s="12" t="s">
        <v>960</v>
      </c>
      <c r="D23" s="12" t="s">
        <v>961</v>
      </c>
      <c r="E23" s="12" t="s">
        <v>944</v>
      </c>
      <c r="F23" s="74" t="s">
        <v>260</v>
      </c>
    </row>
    <row r="24" customFormat="false" ht="33.75" hidden="false" customHeight="true" outlineLevel="0" collapsed="false">
      <c r="A24" s="11" t="s">
        <v>962</v>
      </c>
      <c r="B24" s="10" t="s">
        <v>963</v>
      </c>
      <c r="C24" s="12" t="s">
        <v>22</v>
      </c>
      <c r="D24" s="12" t="s">
        <v>964</v>
      </c>
      <c r="E24" s="12" t="s">
        <v>965</v>
      </c>
      <c r="F24" s="74" t="s">
        <v>260</v>
      </c>
    </row>
    <row r="27" customFormat="false" ht="15" hidden="false" customHeight="false" outlineLevel="0" collapsed="false">
      <c r="A27" s="29" t="s">
        <v>966</v>
      </c>
    </row>
    <row r="28" customFormat="false" ht="33.75" hidden="false" customHeight="true" outlineLevel="0" collapsed="false">
      <c r="A28" s="9" t="s">
        <v>967</v>
      </c>
      <c r="B28" s="9" t="s">
        <v>968</v>
      </c>
      <c r="C28" s="9" t="s">
        <v>969</v>
      </c>
      <c r="D28" s="9" t="s">
        <v>254</v>
      </c>
      <c r="E28" s="9" t="s">
        <v>41</v>
      </c>
    </row>
    <row r="29" customFormat="false" ht="33.75" hidden="false" customHeight="true" outlineLevel="0" collapsed="false">
      <c r="A29" s="11" t="s">
        <v>970</v>
      </c>
      <c r="B29" s="10" t="s">
        <v>971</v>
      </c>
      <c r="C29" s="12" t="s">
        <v>972</v>
      </c>
      <c r="D29" s="12" t="s">
        <v>973</v>
      </c>
      <c r="E29" s="74" t="s">
        <v>260</v>
      </c>
    </row>
    <row r="30" customFormat="false" ht="33.75" hidden="false" customHeight="true" outlineLevel="0" collapsed="false">
      <c r="A30" s="11" t="s">
        <v>974</v>
      </c>
      <c r="B30" s="10" t="s">
        <v>975</v>
      </c>
      <c r="C30" s="12" t="s">
        <v>976</v>
      </c>
      <c r="D30" s="12" t="s">
        <v>973</v>
      </c>
      <c r="E30" s="74" t="s">
        <v>260</v>
      </c>
    </row>
    <row r="31" customFormat="false" ht="33.75" hidden="false" customHeight="true" outlineLevel="0" collapsed="false">
      <c r="A31" s="11" t="s">
        <v>977</v>
      </c>
      <c r="B31" s="10" t="s">
        <v>978</v>
      </c>
      <c r="C31" s="12" t="s">
        <v>979</v>
      </c>
      <c r="D31" s="12" t="s">
        <v>980</v>
      </c>
      <c r="E31" s="74" t="s">
        <v>260</v>
      </c>
    </row>
    <row r="32" customFormat="false" ht="33.75" hidden="false" customHeight="true" outlineLevel="0" collapsed="false">
      <c r="A32" s="11" t="s">
        <v>981</v>
      </c>
      <c r="B32" s="10" t="s">
        <v>982</v>
      </c>
      <c r="C32" s="12" t="s">
        <v>983</v>
      </c>
      <c r="D32" s="12" t="s">
        <v>980</v>
      </c>
      <c r="E32" s="74" t="s">
        <v>260</v>
      </c>
    </row>
    <row r="33" customFormat="false" ht="33.75" hidden="false" customHeight="true" outlineLevel="0" collapsed="false">
      <c r="A33" s="11" t="s">
        <v>984</v>
      </c>
      <c r="B33" s="10" t="s">
        <v>985</v>
      </c>
      <c r="C33" s="12" t="s">
        <v>986</v>
      </c>
      <c r="D33" s="12" t="s">
        <v>973</v>
      </c>
      <c r="E33" s="74" t="s">
        <v>260</v>
      </c>
    </row>
    <row r="34" customFormat="false" ht="33.75" hidden="false" customHeight="true" outlineLevel="0" collapsed="false">
      <c r="A34" s="11" t="s">
        <v>987</v>
      </c>
      <c r="B34" s="10" t="s">
        <v>988</v>
      </c>
      <c r="C34" s="12" t="s">
        <v>989</v>
      </c>
      <c r="D34" s="12" t="s">
        <v>973</v>
      </c>
      <c r="E34" s="74" t="s">
        <v>260</v>
      </c>
    </row>
    <row r="37" customFormat="false" ht="15" hidden="false" customHeight="false" outlineLevel="0" collapsed="false">
      <c r="A37" s="29" t="s">
        <v>990</v>
      </c>
    </row>
    <row r="38" customFormat="false" ht="33.75" hidden="false" customHeight="true" outlineLevel="0" collapsed="false">
      <c r="A38" s="9" t="s">
        <v>901</v>
      </c>
      <c r="B38" s="9" t="s">
        <v>991</v>
      </c>
      <c r="C38" s="9" t="s">
        <v>671</v>
      </c>
      <c r="D38" s="9" t="s">
        <v>254</v>
      </c>
      <c r="E38" s="9" t="s">
        <v>41</v>
      </c>
    </row>
    <row r="39" customFormat="false" ht="33.75" hidden="false" customHeight="true" outlineLevel="0" collapsed="false">
      <c r="A39" s="11" t="s">
        <v>992</v>
      </c>
      <c r="B39" s="10" t="s">
        <v>993</v>
      </c>
      <c r="C39" s="12" t="s">
        <v>994</v>
      </c>
      <c r="D39" s="12" t="s">
        <v>995</v>
      </c>
      <c r="E39" s="74" t="s">
        <v>260</v>
      </c>
    </row>
    <row r="40" customFormat="false" ht="33.75" hidden="false" customHeight="true" outlineLevel="0" collapsed="false">
      <c r="A40" s="11" t="s">
        <v>996</v>
      </c>
      <c r="B40" s="10" t="s">
        <v>997</v>
      </c>
      <c r="C40" s="12" t="s">
        <v>998</v>
      </c>
      <c r="D40" s="12" t="s">
        <v>999</v>
      </c>
      <c r="E40" s="74" t="s">
        <v>260</v>
      </c>
    </row>
    <row r="41" customFormat="false" ht="33.75" hidden="false" customHeight="true" outlineLevel="0" collapsed="false">
      <c r="A41" s="11" t="s">
        <v>1000</v>
      </c>
      <c r="B41" s="10" t="s">
        <v>1001</v>
      </c>
      <c r="C41" s="12" t="s">
        <v>1002</v>
      </c>
      <c r="D41" s="12" t="s">
        <v>999</v>
      </c>
      <c r="E41" s="74" t="s">
        <v>260</v>
      </c>
    </row>
    <row r="42" customFormat="false" ht="33.75" hidden="false" customHeight="true" outlineLevel="0" collapsed="false">
      <c r="A42" s="11" t="s">
        <v>1003</v>
      </c>
      <c r="B42" s="10" t="s">
        <v>1004</v>
      </c>
      <c r="C42" s="12" t="s">
        <v>1005</v>
      </c>
      <c r="D42" s="12" t="s">
        <v>1006</v>
      </c>
      <c r="E42" s="74" t="s">
        <v>260</v>
      </c>
    </row>
    <row r="43" customFormat="false" ht="33.75" hidden="false" customHeight="true" outlineLevel="0" collapsed="false">
      <c r="A43" s="11" t="s">
        <v>1007</v>
      </c>
      <c r="B43" s="10" t="s">
        <v>1008</v>
      </c>
      <c r="C43" s="12" t="s">
        <v>1009</v>
      </c>
      <c r="D43" s="12" t="s">
        <v>1010</v>
      </c>
      <c r="E43" s="74" t="s">
        <v>260</v>
      </c>
    </row>
    <row r="44" customFormat="false" ht="33.75" hidden="false" customHeight="true" outlineLevel="0" collapsed="false">
      <c r="A44" s="11" t="s">
        <v>1011</v>
      </c>
      <c r="B44" s="10" t="s">
        <v>1012</v>
      </c>
      <c r="C44" s="12" t="s">
        <v>1013</v>
      </c>
      <c r="D44" s="12" t="s">
        <v>1006</v>
      </c>
      <c r="E44" s="74" t="s">
        <v>260</v>
      </c>
    </row>
    <row r="45" customFormat="false" ht="33.75" hidden="false" customHeight="true" outlineLevel="0" collapsed="false">
      <c r="A45" s="11" t="s">
        <v>1014</v>
      </c>
      <c r="B45" s="10" t="s">
        <v>1015</v>
      </c>
      <c r="C45" s="12" t="s">
        <v>1016</v>
      </c>
      <c r="D45" s="12" t="s">
        <v>1017</v>
      </c>
      <c r="E45" s="74" t="s">
        <v>260</v>
      </c>
    </row>
    <row r="46" customFormat="false" ht="33.75" hidden="false" customHeight="true" outlineLevel="0" collapsed="false">
      <c r="A46" s="11" t="s">
        <v>1018</v>
      </c>
      <c r="B46" s="10" t="s">
        <v>1019</v>
      </c>
      <c r="C46" s="12" t="s">
        <v>1020</v>
      </c>
      <c r="D46" s="12" t="s">
        <v>1017</v>
      </c>
      <c r="E46" s="74" t="s">
        <v>260</v>
      </c>
    </row>
    <row r="49" customFormat="false" ht="15" hidden="false" customHeight="false" outlineLevel="0" collapsed="false">
      <c r="A49" s="29" t="s">
        <v>1021</v>
      </c>
    </row>
    <row r="50" customFormat="false" ht="33.75" hidden="false" customHeight="true" outlineLevel="0" collapsed="false">
      <c r="A50" s="9" t="s">
        <v>663</v>
      </c>
      <c r="B50" s="9" t="s">
        <v>1022</v>
      </c>
      <c r="C50" s="9" t="s">
        <v>1023</v>
      </c>
      <c r="D50" s="9" t="s">
        <v>254</v>
      </c>
      <c r="E50" s="9" t="s">
        <v>41</v>
      </c>
    </row>
    <row r="51" customFormat="false" ht="33.75" hidden="false" customHeight="true" outlineLevel="0" collapsed="false">
      <c r="A51" s="11" t="s">
        <v>672</v>
      </c>
      <c r="B51" s="10" t="n">
        <v>1</v>
      </c>
      <c r="C51" s="12" t="s">
        <v>1024</v>
      </c>
      <c r="D51" s="12" t="s">
        <v>1025</v>
      </c>
      <c r="E51" s="74" t="s">
        <v>260</v>
      </c>
    </row>
    <row r="52" customFormat="false" ht="33.75" hidden="false" customHeight="true" outlineLevel="0" collapsed="false">
      <c r="A52" s="11" t="s">
        <v>678</v>
      </c>
      <c r="B52" s="10" t="n">
        <v>0.95</v>
      </c>
      <c r="C52" s="12" t="s">
        <v>1026</v>
      </c>
      <c r="D52" s="12" t="s">
        <v>1027</v>
      </c>
      <c r="E52" s="74" t="s">
        <v>260</v>
      </c>
    </row>
    <row r="53" customFormat="false" ht="33.75" hidden="false" customHeight="true" outlineLevel="0" collapsed="false">
      <c r="A53" s="11" t="s">
        <v>675</v>
      </c>
      <c r="B53" s="10" t="n">
        <v>0.7</v>
      </c>
      <c r="C53" s="12" t="s">
        <v>1028</v>
      </c>
      <c r="D53" s="12" t="s">
        <v>1027</v>
      </c>
      <c r="E53" s="74" t="s">
        <v>260</v>
      </c>
    </row>
    <row r="54" customFormat="false" ht="33.75" hidden="false" customHeight="true" outlineLevel="0" collapsed="false">
      <c r="A54" s="11" t="s">
        <v>680</v>
      </c>
      <c r="B54" s="10" t="n">
        <v>0.6</v>
      </c>
      <c r="C54" s="12" t="s">
        <v>1029</v>
      </c>
      <c r="D54" s="12" t="s">
        <v>1025</v>
      </c>
      <c r="E54" s="74" t="s">
        <v>260</v>
      </c>
    </row>
    <row r="55" customFormat="false" ht="33.75" hidden="false" customHeight="true" outlineLevel="0" collapsed="false">
      <c r="A55" s="11" t="s">
        <v>683</v>
      </c>
      <c r="B55" s="10" t="n">
        <v>0.55</v>
      </c>
      <c r="C55" s="12" t="s">
        <v>1030</v>
      </c>
      <c r="D55" s="12" t="s">
        <v>1031</v>
      </c>
      <c r="E55" s="7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56"/>
    <col collapsed="false" customWidth="true" hidden="false" outlineLevel="0" max="6" min="6" style="0" width="12"/>
  </cols>
  <sheetData>
    <row r="1" customFormat="false" ht="18.55" hidden="false" customHeight="false" outlineLevel="0" collapsed="false">
      <c r="A1" s="1" t="s">
        <v>1032</v>
      </c>
    </row>
    <row r="2" customFormat="false" ht="15" hidden="false" customHeight="false" outlineLevel="0" collapsed="false">
      <c r="A2" s="2" t="s">
        <v>1033</v>
      </c>
    </row>
    <row r="4" customFormat="false" ht="33.75" hidden="false" customHeight="true" outlineLevel="0" collapsed="false">
      <c r="A4" s="9" t="s">
        <v>26</v>
      </c>
      <c r="B4" s="9" t="s">
        <v>1034</v>
      </c>
      <c r="C4" s="9" t="s">
        <v>1035</v>
      </c>
      <c r="D4" s="9" t="s">
        <v>1036</v>
      </c>
      <c r="E4" s="9" t="s">
        <v>1037</v>
      </c>
      <c r="F4" s="9" t="s">
        <v>1038</v>
      </c>
    </row>
    <row r="5" customFormat="false" ht="66" hidden="false" customHeight="true" outlineLevel="0" collapsed="false">
      <c r="A5" s="10" t="n">
        <v>1</v>
      </c>
      <c r="B5" s="11" t="s">
        <v>1039</v>
      </c>
      <c r="C5" s="12" t="s">
        <v>1040</v>
      </c>
      <c r="D5" s="12" t="s">
        <v>1041</v>
      </c>
      <c r="E5" s="12" t="s">
        <v>1042</v>
      </c>
      <c r="F5" s="76" t="s">
        <v>1043</v>
      </c>
    </row>
    <row r="6" customFormat="false" ht="66" hidden="false" customHeight="true" outlineLevel="0" collapsed="false">
      <c r="A6" s="10" t="n">
        <v>2</v>
      </c>
      <c r="B6" s="11" t="s">
        <v>1044</v>
      </c>
      <c r="C6" s="12" t="s">
        <v>1045</v>
      </c>
      <c r="D6" s="12" t="s">
        <v>1046</v>
      </c>
      <c r="E6" s="12" t="s">
        <v>1047</v>
      </c>
      <c r="F6" s="76" t="s">
        <v>1043</v>
      </c>
    </row>
    <row r="7" customFormat="false" ht="66" hidden="false" customHeight="true" outlineLevel="0" collapsed="false">
      <c r="A7" s="10" t="n">
        <v>3</v>
      </c>
      <c r="B7" s="11" t="s">
        <v>1048</v>
      </c>
      <c r="C7" s="12" t="s">
        <v>1049</v>
      </c>
      <c r="D7" s="12" t="s">
        <v>1050</v>
      </c>
      <c r="E7" s="12" t="s">
        <v>1051</v>
      </c>
      <c r="F7" s="76" t="s">
        <v>1043</v>
      </c>
    </row>
    <row r="8" customFormat="false" ht="66" hidden="false" customHeight="true" outlineLevel="0" collapsed="false">
      <c r="A8" s="10" t="n">
        <v>4</v>
      </c>
      <c r="B8" s="11" t="s">
        <v>1052</v>
      </c>
      <c r="C8" s="12" t="s">
        <v>1053</v>
      </c>
      <c r="D8" s="12" t="s">
        <v>1054</v>
      </c>
      <c r="E8" s="12" t="s">
        <v>1055</v>
      </c>
      <c r="F8" s="76" t="s">
        <v>1043</v>
      </c>
    </row>
    <row r="9" customFormat="false" ht="66" hidden="false" customHeight="true" outlineLevel="0" collapsed="false">
      <c r="A9" s="10" t="n">
        <v>5</v>
      </c>
      <c r="B9" s="11" t="s">
        <v>1056</v>
      </c>
      <c r="C9" s="12" t="s">
        <v>1057</v>
      </c>
      <c r="D9" s="12" t="s">
        <v>1058</v>
      </c>
      <c r="E9" s="12" t="s">
        <v>1059</v>
      </c>
      <c r="F9" s="76" t="s">
        <v>1043</v>
      </c>
    </row>
    <row r="10" customFormat="false" ht="66" hidden="false" customHeight="true" outlineLevel="0" collapsed="false">
      <c r="A10" s="10" t="n">
        <v>6</v>
      </c>
      <c r="B10" s="11" t="s">
        <v>1060</v>
      </c>
      <c r="C10" s="12" t="s">
        <v>1061</v>
      </c>
      <c r="D10" s="12" t="s">
        <v>1062</v>
      </c>
      <c r="E10" s="12" t="s">
        <v>1063</v>
      </c>
      <c r="F10" s="76" t="s">
        <v>1043</v>
      </c>
    </row>
    <row r="11" customFormat="false" ht="66" hidden="false" customHeight="true" outlineLevel="0" collapsed="false">
      <c r="A11" s="10" t="n">
        <v>7</v>
      </c>
      <c r="B11" s="11" t="s">
        <v>1064</v>
      </c>
      <c r="C11" s="12" t="s">
        <v>1065</v>
      </c>
      <c r="D11" s="12" t="s">
        <v>1066</v>
      </c>
      <c r="E11" s="12" t="s">
        <v>1067</v>
      </c>
      <c r="F11" s="77" t="s">
        <v>1068</v>
      </c>
    </row>
    <row r="12" customFormat="false" ht="66" hidden="false" customHeight="true" outlineLevel="0" collapsed="false">
      <c r="A12" s="10" t="n">
        <v>8</v>
      </c>
      <c r="B12" s="11" t="s">
        <v>1069</v>
      </c>
      <c r="C12" s="12" t="s">
        <v>1070</v>
      </c>
      <c r="D12" s="12" t="s">
        <v>1071</v>
      </c>
      <c r="E12" s="12" t="s">
        <v>1072</v>
      </c>
      <c r="F12" s="77" t="s">
        <v>1068</v>
      </c>
    </row>
    <row r="14" customFormat="false" ht="15" hidden="false" customHeight="false" outlineLevel="0" collapsed="false">
      <c r="B14" s="2" t="s">
        <v>1073</v>
      </c>
    </row>
    <row r="16" customFormat="false" ht="33.75" hidden="false" customHeight="true" outlineLevel="0" collapsed="false">
      <c r="A16" s="9" t="s">
        <v>564</v>
      </c>
      <c r="B16" s="9" t="s">
        <v>1074</v>
      </c>
      <c r="C16" s="9" t="s">
        <v>1075</v>
      </c>
      <c r="D16" s="9" t="s">
        <v>1076</v>
      </c>
      <c r="E16" s="9" t="s">
        <v>1077</v>
      </c>
    </row>
    <row r="17" customFormat="false" ht="15" hidden="false" customHeight="false" outlineLevel="0" collapsed="false">
      <c r="A17" s="4" t="s">
        <v>42</v>
      </c>
      <c r="B17" s="30" t="n">
        <f aca="false">'Mapa Competitivo'!H5</f>
        <v>210</v>
      </c>
      <c r="C17" s="30" t="n">
        <f aca="false">'Mapa Competitivo'!J5</f>
        <v>116</v>
      </c>
      <c r="D17" s="6" t="n">
        <v>8</v>
      </c>
      <c r="E17" s="39" t="str">
        <f aca="false">IF(AND(B17&gt;=MEDIAN($B$17:$B$40),D17&gt;=5.5),"APOSTAR",IF(AND(B17&gt;=MEDIAN($B$17:$B$40),D17&lt;5.5),"MONETIZAR CON CUIDADO",IF(D17&gt;=5.5,"DIFERENCIAR, NO FACTURAR","REPLANTEAR")))</f>
        <v>APOSTAR</v>
      </c>
    </row>
    <row r="18" customFormat="false" ht="15" hidden="false" customHeight="false" outlineLevel="0" collapsed="false">
      <c r="A18" s="4" t="s">
        <v>51</v>
      </c>
      <c r="B18" s="30" t="n">
        <f aca="false">'Mapa Competitivo'!H6</f>
        <v>84.495</v>
      </c>
      <c r="C18" s="30" t="n">
        <f aca="false">'Mapa Competitivo'!J6</f>
        <v>46</v>
      </c>
      <c r="D18" s="6" t="n">
        <v>6</v>
      </c>
      <c r="E18" s="39" t="str">
        <f aca="false">IF(AND(B18&gt;=MEDIAN($B$17:$B$40),D18&gt;=5.5),"APOSTAR",IF(AND(B18&gt;=MEDIAN($B$17:$B$40),D18&lt;5.5),"MONETIZAR CON CUIDADO",IF(D18&gt;=5.5,"DIFERENCIAR, NO FACTURAR","REPLANTEAR")))</f>
        <v>DIFERENCIAR, NO FACTURAR</v>
      </c>
    </row>
    <row r="19" customFormat="false" ht="15" hidden="false" customHeight="false" outlineLevel="0" collapsed="false">
      <c r="A19" s="4" t="s">
        <v>60</v>
      </c>
      <c r="B19" s="30" t="n">
        <f aca="false">'Mapa Competitivo'!H7</f>
        <v>120</v>
      </c>
      <c r="C19" s="30" t="n">
        <f aca="false">'Mapa Competitivo'!J7</f>
        <v>66</v>
      </c>
      <c r="D19" s="6" t="n">
        <v>7</v>
      </c>
      <c r="E19" s="39" t="str">
        <f aca="false">IF(AND(B19&gt;=MEDIAN($B$17:$B$40),D19&gt;=5.5),"APOSTAR",IF(AND(B19&gt;=MEDIAN($B$17:$B$40),D19&lt;5.5),"MONETIZAR CON CUIDADO",IF(D19&gt;=5.5,"DIFERENCIAR, NO FACTURAR","REPLANTEAR")))</f>
        <v>APOSTAR</v>
      </c>
    </row>
    <row r="20" customFormat="false" ht="15" hidden="false" customHeight="false" outlineLevel="0" collapsed="false">
      <c r="A20" s="4" t="s">
        <v>69</v>
      </c>
      <c r="B20" s="30" t="n">
        <f aca="false">'Mapa Competitivo'!H8</f>
        <v>200</v>
      </c>
      <c r="C20" s="30" t="n">
        <f aca="false">'Mapa Competitivo'!J8</f>
        <v>110</v>
      </c>
      <c r="D20" s="6" t="n">
        <v>2</v>
      </c>
      <c r="E20" s="39" t="str">
        <f aca="false">IF(AND(B20&gt;=MEDIAN($B$17:$B$40),D20&gt;=5.5),"APOSTAR",IF(AND(B20&gt;=MEDIAN($B$17:$B$40),D20&lt;5.5),"MONETIZAR CON CUIDADO",IF(D20&gt;=5.5,"DIFERENCIAR, NO FACTURAR","REPLANTEAR")))</f>
        <v>MONETIZAR CON CUIDADO</v>
      </c>
    </row>
    <row r="21" customFormat="false" ht="15" hidden="false" customHeight="false" outlineLevel="0" collapsed="false">
      <c r="A21" s="4" t="s">
        <v>77</v>
      </c>
      <c r="B21" s="30" t="n">
        <f aca="false">'Mapa Competitivo'!H9</f>
        <v>199</v>
      </c>
      <c r="C21" s="30" t="n">
        <f aca="false">'Mapa Competitivo'!J9</f>
        <v>109</v>
      </c>
      <c r="D21" s="6" t="n">
        <v>4</v>
      </c>
      <c r="E21" s="39" t="str">
        <f aca="false">IF(AND(B21&gt;=MEDIAN($B$17:$B$40),D21&gt;=5.5),"APOSTAR",IF(AND(B21&gt;=MEDIAN($B$17:$B$40),D21&lt;5.5),"MONETIZAR CON CUIDADO",IF(D21&gt;=5.5,"DIFERENCIAR, NO FACTURAR","REPLANTEAR")))</f>
        <v>MONETIZAR CON CUIDADO</v>
      </c>
    </row>
    <row r="22" customFormat="false" ht="15" hidden="false" customHeight="false" outlineLevel="0" collapsed="false">
      <c r="A22" s="4" t="s">
        <v>86</v>
      </c>
      <c r="B22" s="30" t="n">
        <f aca="false">'Mapa Competitivo'!H10</f>
        <v>72.5</v>
      </c>
      <c r="C22" s="30" t="n">
        <f aca="false">'Mapa Competitivo'!J10</f>
        <v>40</v>
      </c>
      <c r="D22" s="6" t="n">
        <v>1</v>
      </c>
      <c r="E22" s="39" t="str">
        <f aca="false">IF(AND(B22&gt;=MEDIAN($B$17:$B$40),D22&gt;=5.5),"APOSTAR",IF(AND(B22&gt;=MEDIAN($B$17:$B$40),D22&lt;5.5),"MONETIZAR CON CUIDADO",IF(D22&gt;=5.5,"DIFERENCIAR, NO FACTURAR","REPLANTEAR")))</f>
        <v>REPLANTEAR</v>
      </c>
    </row>
    <row r="23" customFormat="false" ht="15" hidden="false" customHeight="false" outlineLevel="0" collapsed="false">
      <c r="A23" s="4" t="s">
        <v>93</v>
      </c>
      <c r="B23" s="30" t="n">
        <f aca="false">'Mapa Competitivo'!H11</f>
        <v>120</v>
      </c>
      <c r="C23" s="30" t="n">
        <f aca="false">'Mapa Competitivo'!J11</f>
        <v>66</v>
      </c>
      <c r="D23" s="6" t="n">
        <v>3</v>
      </c>
      <c r="E23" s="39" t="str">
        <f aca="false">IF(AND(B23&gt;=MEDIAN($B$17:$B$40),D23&gt;=5.5),"APOSTAR",IF(AND(B23&gt;=MEDIAN($B$17:$B$40),D23&lt;5.5),"MONETIZAR CON CUIDADO",IF(D23&gt;=5.5,"DIFERENCIAR, NO FACTURAR","REPLANTEAR")))</f>
        <v>MONETIZAR CON CUIDADO</v>
      </c>
    </row>
    <row r="24" customFormat="false" ht="15" hidden="false" customHeight="false" outlineLevel="0" collapsed="false">
      <c r="A24" s="4" t="s">
        <v>101</v>
      </c>
      <c r="B24" s="30" t="n">
        <f aca="false">'Mapa Competitivo'!H12</f>
        <v>100</v>
      </c>
      <c r="C24" s="30" t="n">
        <f aca="false">'Mapa Competitivo'!J12</f>
        <v>55</v>
      </c>
      <c r="D24" s="6" t="n">
        <v>4</v>
      </c>
      <c r="E24" s="39" t="str">
        <f aca="false">IF(AND(B24&gt;=MEDIAN($B$17:$B$40),D24&gt;=5.5),"APOSTAR",IF(AND(B24&gt;=MEDIAN($B$17:$B$40),D24&lt;5.5),"MONETIZAR CON CUIDADO",IF(D24&gt;=5.5,"DIFERENCIAR, NO FACTURAR","REPLANTEAR")))</f>
        <v>REPLANTEAR</v>
      </c>
    </row>
    <row r="25" customFormat="false" ht="15" hidden="false" customHeight="false" outlineLevel="0" collapsed="false">
      <c r="A25" s="4" t="s">
        <v>110</v>
      </c>
      <c r="B25" s="30" t="n">
        <f aca="false">'Mapa Competitivo'!H13</f>
        <v>120</v>
      </c>
      <c r="C25" s="30" t="n">
        <f aca="false">'Mapa Competitivo'!J13</f>
        <v>66</v>
      </c>
      <c r="D25" s="6" t="n">
        <v>3</v>
      </c>
      <c r="E25" s="39" t="str">
        <f aca="false">IF(AND(B25&gt;=MEDIAN($B$17:$B$40),D25&gt;=5.5),"APOSTAR",IF(AND(B25&gt;=MEDIAN($B$17:$B$40),D25&lt;5.5),"MONETIZAR CON CUIDADO",IF(D25&gt;=5.5,"DIFERENCIAR, NO FACTURAR","REPLANTEAR")))</f>
        <v>MONETIZAR CON CUIDADO</v>
      </c>
    </row>
    <row r="26" customFormat="false" ht="15" hidden="false" customHeight="false" outlineLevel="0" collapsed="false">
      <c r="A26" s="4" t="s">
        <v>117</v>
      </c>
      <c r="B26" s="30" t="n">
        <f aca="false">'Mapa Competitivo'!H14</f>
        <v>240</v>
      </c>
      <c r="C26" s="30" t="n">
        <f aca="false">'Mapa Competitivo'!J14</f>
        <v>132</v>
      </c>
      <c r="D26" s="6" t="n">
        <v>6</v>
      </c>
      <c r="E26" s="39" t="str">
        <f aca="false">IF(AND(B26&gt;=MEDIAN($B$17:$B$40),D26&gt;=5.5),"APOSTAR",IF(AND(B26&gt;=MEDIAN($B$17:$B$40),D26&lt;5.5),"MONETIZAR CON CUIDADO",IF(D26&gt;=5.5,"DIFERENCIAR, NO FACTURAR","REPLANTEAR")))</f>
        <v>APOSTAR</v>
      </c>
    </row>
    <row r="27" customFormat="false" ht="15" hidden="false" customHeight="false" outlineLevel="0" collapsed="false">
      <c r="A27" s="4" t="s">
        <v>125</v>
      </c>
      <c r="B27" s="30" t="n">
        <f aca="false">'Mapa Competitivo'!H15</f>
        <v>99.5</v>
      </c>
      <c r="C27" s="30" t="n">
        <f aca="false">'Mapa Competitivo'!J15</f>
        <v>55</v>
      </c>
      <c r="D27" s="6" t="n">
        <v>7</v>
      </c>
      <c r="E27" s="39" t="str">
        <f aca="false">IF(AND(B27&gt;=MEDIAN($B$17:$B$40),D27&gt;=5.5),"APOSTAR",IF(AND(B27&gt;=MEDIAN($B$17:$B$40),D27&lt;5.5),"MONETIZAR CON CUIDADO",IF(D27&gt;=5.5,"DIFERENCIAR, NO FACTURAR","REPLANTEAR")))</f>
        <v>DIFERENCIAR, NO FACTURAR</v>
      </c>
    </row>
    <row r="28" customFormat="false" ht="15" hidden="false" customHeight="false" outlineLevel="0" collapsed="false">
      <c r="A28" s="4" t="s">
        <v>134</v>
      </c>
      <c r="B28" s="30" t="n">
        <f aca="false">'Mapa Competitivo'!H16</f>
        <v>62</v>
      </c>
      <c r="C28" s="30" t="n">
        <f aca="false">'Mapa Competitivo'!J16</f>
        <v>34</v>
      </c>
      <c r="D28" s="6" t="n">
        <v>4</v>
      </c>
      <c r="E28" s="39" t="str">
        <f aca="false">IF(AND(B28&gt;=MEDIAN($B$17:$B$40),D28&gt;=5.5),"APOSTAR",IF(AND(B28&gt;=MEDIAN($B$17:$B$40),D28&lt;5.5),"MONETIZAR CON CUIDADO",IF(D28&gt;=5.5,"DIFERENCIAR, NO FACTURAR","REPLANTEAR")))</f>
        <v>REPLANTEAR</v>
      </c>
    </row>
    <row r="29" customFormat="false" ht="15" hidden="false" customHeight="false" outlineLevel="0" collapsed="false">
      <c r="A29" s="4" t="s">
        <v>142</v>
      </c>
      <c r="B29" s="30" t="n">
        <f aca="false">'Mapa Competitivo'!H17</f>
        <v>49.5</v>
      </c>
      <c r="C29" s="30" t="n">
        <f aca="false">'Mapa Competitivo'!J17</f>
        <v>27</v>
      </c>
      <c r="D29" s="6" t="n">
        <v>3</v>
      </c>
      <c r="E29" s="39" t="str">
        <f aca="false">IF(AND(B29&gt;=MEDIAN($B$17:$B$40),D29&gt;=5.5),"APOSTAR",IF(AND(B29&gt;=MEDIAN($B$17:$B$40),D29&lt;5.5),"MONETIZAR CON CUIDADO",IF(D29&gt;=5.5,"DIFERENCIAR, NO FACTURAR","REPLANTEAR")))</f>
        <v>REPLANTEAR</v>
      </c>
    </row>
    <row r="30" customFormat="false" ht="15" hidden="false" customHeight="false" outlineLevel="0" collapsed="false">
      <c r="A30" s="4" t="s">
        <v>150</v>
      </c>
      <c r="B30" s="30" t="n">
        <f aca="false">'Mapa Competitivo'!H18</f>
        <v>540</v>
      </c>
      <c r="C30" s="30" t="n">
        <f aca="false">'Mapa Competitivo'!J18</f>
        <v>297</v>
      </c>
      <c r="D30" s="6" t="n">
        <v>7</v>
      </c>
      <c r="E30" s="39" t="str">
        <f aca="false">IF(AND(B30&gt;=MEDIAN($B$17:$B$40),D30&gt;=5.5),"APOSTAR",IF(AND(B30&gt;=MEDIAN($B$17:$B$40),D30&lt;5.5),"MONETIZAR CON CUIDADO",IF(D30&gt;=5.5,"DIFERENCIAR, NO FACTURAR","REPLANTEAR")))</f>
        <v>APOSTAR</v>
      </c>
    </row>
    <row r="31" customFormat="false" ht="15" hidden="false" customHeight="false" outlineLevel="0" collapsed="false">
      <c r="A31" s="4" t="s">
        <v>159</v>
      </c>
      <c r="B31" s="30" t="n">
        <f aca="false">'Mapa Competitivo'!H19</f>
        <v>50</v>
      </c>
      <c r="C31" s="30" t="n">
        <f aca="false">'Mapa Competitivo'!J19</f>
        <v>28</v>
      </c>
      <c r="D31" s="6" t="n">
        <v>4</v>
      </c>
      <c r="E31" s="39" t="str">
        <f aca="false">IF(AND(B31&gt;=MEDIAN($B$17:$B$40),D31&gt;=5.5),"APOSTAR",IF(AND(B31&gt;=MEDIAN($B$17:$B$40),D31&lt;5.5),"MONETIZAR CON CUIDADO",IF(D31&gt;=5.5,"DIFERENCIAR, NO FACTURAR","REPLANTEAR")))</f>
        <v>REPLANTEAR</v>
      </c>
    </row>
    <row r="32" customFormat="false" ht="15" hidden="false" customHeight="false" outlineLevel="0" collapsed="false">
      <c r="A32" s="4" t="s">
        <v>167</v>
      </c>
      <c r="B32" s="30" t="n">
        <f aca="false">'Mapa Competitivo'!H20</f>
        <v>110</v>
      </c>
      <c r="C32" s="30" t="n">
        <f aca="false">'Mapa Competitivo'!J20</f>
        <v>61</v>
      </c>
      <c r="D32" s="6" t="n">
        <v>3</v>
      </c>
      <c r="E32" s="39" t="str">
        <f aca="false">IF(AND(B32&gt;=MEDIAN($B$17:$B$40),D32&gt;=5.5),"APOSTAR",IF(AND(B32&gt;=MEDIAN($B$17:$B$40),D32&lt;5.5),"MONETIZAR CON CUIDADO",IF(D32&gt;=5.5,"DIFERENCIAR, NO FACTURAR","REPLANTEAR")))</f>
        <v>MONETIZAR CON CUIDADO</v>
      </c>
    </row>
    <row r="33" customFormat="false" ht="15" hidden="false" customHeight="false" outlineLevel="0" collapsed="false">
      <c r="A33" s="4" t="s">
        <v>176</v>
      </c>
      <c r="B33" s="30" t="n">
        <f aca="false">'Mapa Competitivo'!H21</f>
        <v>104.5</v>
      </c>
      <c r="C33" s="30" t="n">
        <f aca="false">'Mapa Competitivo'!J21</f>
        <v>57</v>
      </c>
      <c r="D33" s="6" t="n">
        <v>5</v>
      </c>
      <c r="E33" s="39" t="str">
        <f aca="false">IF(AND(B33&gt;=MEDIAN($B$17:$B$40),D33&gt;=5.5),"APOSTAR",IF(AND(B33&gt;=MEDIAN($B$17:$B$40),D33&lt;5.5),"MONETIZAR CON CUIDADO",IF(D33&gt;=5.5,"DIFERENCIAR, NO FACTURAR","REPLANTEAR")))</f>
        <v>REPLANTEAR</v>
      </c>
    </row>
    <row r="34" customFormat="false" ht="15" hidden="false" customHeight="false" outlineLevel="0" collapsed="false">
      <c r="A34" s="4" t="s">
        <v>185</v>
      </c>
      <c r="B34" s="30" t="n">
        <f aca="false">'Mapa Competitivo'!H22</f>
        <v>390</v>
      </c>
      <c r="C34" s="30" t="n">
        <f aca="false">'Mapa Competitivo'!J22</f>
        <v>215</v>
      </c>
      <c r="D34" s="6" t="n">
        <v>5</v>
      </c>
      <c r="E34" s="39" t="str">
        <f aca="false">IF(AND(B34&gt;=MEDIAN($B$17:$B$40),D34&gt;=5.5),"APOSTAR",IF(AND(B34&gt;=MEDIAN($B$17:$B$40),D34&lt;5.5),"MONETIZAR CON CUIDADO",IF(D34&gt;=5.5,"DIFERENCIAR, NO FACTURAR","REPLANTEAR")))</f>
        <v>MONETIZAR CON CUIDADO</v>
      </c>
    </row>
    <row r="35" customFormat="false" ht="15" hidden="false" customHeight="false" outlineLevel="0" collapsed="false">
      <c r="A35" s="4" t="s">
        <v>193</v>
      </c>
      <c r="B35" s="30" t="n">
        <f aca="false">'Mapa Competitivo'!H23</f>
        <v>499</v>
      </c>
      <c r="C35" s="30" t="n">
        <f aca="false">'Mapa Competitivo'!J23</f>
        <v>274</v>
      </c>
      <c r="D35" s="6" t="n">
        <v>8</v>
      </c>
      <c r="E35" s="39" t="str">
        <f aca="false">IF(AND(B35&gt;=MEDIAN($B$17:$B$40),D35&gt;=5.5),"APOSTAR",IF(AND(B35&gt;=MEDIAN($B$17:$B$40),D35&lt;5.5),"MONETIZAR CON CUIDADO",IF(D35&gt;=5.5,"DIFERENCIAR, NO FACTURAR","REPLANTEAR")))</f>
        <v>APOSTAR</v>
      </c>
    </row>
    <row r="36" customFormat="false" ht="15" hidden="false" customHeight="false" outlineLevel="0" collapsed="false">
      <c r="A36" s="4" t="s">
        <v>201</v>
      </c>
      <c r="B36" s="30" t="n">
        <f aca="false">'Mapa Competitivo'!H24</f>
        <v>105</v>
      </c>
      <c r="C36" s="30" t="n">
        <f aca="false">'Mapa Competitivo'!J24</f>
        <v>58</v>
      </c>
      <c r="D36" s="6" t="n">
        <v>2</v>
      </c>
      <c r="E36" s="39" t="str">
        <f aca="false">IF(AND(B36&gt;=MEDIAN($B$17:$B$40),D36&gt;=5.5),"APOSTAR",IF(AND(B36&gt;=MEDIAN($B$17:$B$40),D36&lt;5.5),"MONETIZAR CON CUIDADO",IF(D36&gt;=5.5,"DIFERENCIAR, NO FACTURAR","REPLANTEAR")))</f>
        <v>REPLANTEAR</v>
      </c>
    </row>
    <row r="37" customFormat="false" ht="15" hidden="false" customHeight="false" outlineLevel="0" collapsed="false">
      <c r="A37" s="4" t="s">
        <v>209</v>
      </c>
      <c r="B37" s="30" t="n">
        <f aca="false">'Mapa Competitivo'!H25</f>
        <v>24</v>
      </c>
      <c r="C37" s="30" t="n">
        <f aca="false">'Mapa Competitivo'!J25</f>
        <v>13</v>
      </c>
      <c r="D37" s="6" t="n">
        <v>5</v>
      </c>
      <c r="E37" s="39" t="str">
        <f aca="false">IF(AND(B37&gt;=MEDIAN($B$17:$B$40),D37&gt;=5.5),"APOSTAR",IF(AND(B37&gt;=MEDIAN($B$17:$B$40),D37&lt;5.5),"MONETIZAR CON CUIDADO",IF(D37&gt;=5.5,"DIFERENCIAR, NO FACTURAR","REPLANTEAR")))</f>
        <v>REPLANTEAR</v>
      </c>
    </row>
    <row r="38" customFormat="false" ht="15" hidden="false" customHeight="false" outlineLevel="0" collapsed="false">
      <c r="A38" s="4" t="s">
        <v>218</v>
      </c>
      <c r="B38" s="30" t="n">
        <f aca="false">'Mapa Competitivo'!H26</f>
        <v>139.5</v>
      </c>
      <c r="C38" s="30" t="n">
        <f aca="false">'Mapa Competitivo'!J26</f>
        <v>77</v>
      </c>
      <c r="D38" s="6" t="n">
        <v>6</v>
      </c>
      <c r="E38" s="39" t="str">
        <f aca="false">IF(AND(B38&gt;=MEDIAN($B$17:$B$40),D38&gt;=5.5),"APOSTAR",IF(AND(B38&gt;=MEDIAN($B$17:$B$40),D38&lt;5.5),"MONETIZAR CON CUIDADO",IF(D38&gt;=5.5,"DIFERENCIAR, NO FACTURAR","REPLANTEAR")))</f>
        <v>APOSTAR</v>
      </c>
    </row>
    <row r="39" customFormat="false" ht="15" hidden="false" customHeight="false" outlineLevel="0" collapsed="false">
      <c r="A39" s="4" t="s">
        <v>226</v>
      </c>
      <c r="B39" s="30" t="n">
        <f aca="false">'Mapa Competitivo'!H27</f>
        <v>59</v>
      </c>
      <c r="C39" s="30" t="n">
        <f aca="false">'Mapa Competitivo'!J27</f>
        <v>32</v>
      </c>
      <c r="D39" s="6" t="n">
        <v>4</v>
      </c>
      <c r="E39" s="39" t="str">
        <f aca="false">IF(AND(B39&gt;=MEDIAN($B$17:$B$40),D39&gt;=5.5),"APOSTAR",IF(AND(B39&gt;=MEDIAN($B$17:$B$40),D39&lt;5.5),"MONETIZAR CON CUIDADO",IF(D39&gt;=5.5,"DIFERENCIAR, NO FACTURAR","REPLANTEAR")))</f>
        <v>REPLANTEAR</v>
      </c>
    </row>
    <row r="40" customFormat="false" ht="15" hidden="false" customHeight="false" outlineLevel="0" collapsed="false">
      <c r="A40" s="4" t="s">
        <v>235</v>
      </c>
      <c r="B40" s="30" t="n">
        <f aca="false">'Mapa Competitivo'!H28</f>
        <v>21.995</v>
      </c>
      <c r="C40" s="30" t="n">
        <f aca="false">'Mapa Competitivo'!J28</f>
        <v>12</v>
      </c>
      <c r="D40" s="6" t="n">
        <v>3</v>
      </c>
      <c r="E40" s="39" t="str">
        <f aca="false">IF(AND(B40&gt;=MEDIAN($B$17:$B$40),D40&gt;=5.5),"APOSTAR",IF(AND(B40&gt;=MEDIAN($B$17:$B$40),D40&lt;5.5),"MONETIZAR CON CUIDADO",IF(D40&gt;=5.5,"DIFERENCIAR, NO FACTURAR","REPLANTEAR")))</f>
        <v>REPLANTEAR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1078</v>
      </c>
    </row>
    <row r="4" customFormat="false" ht="15" hidden="false" customHeight="false" outlineLevel="0" collapsed="false">
      <c r="A4" s="78" t="s">
        <v>1079</v>
      </c>
      <c r="B4" s="78" t="s">
        <v>1080</v>
      </c>
    </row>
    <row r="5" customFormat="false" ht="15" hidden="false" customHeight="false" outlineLevel="0" collapsed="false">
      <c r="A5" s="12" t="s">
        <v>1081</v>
      </c>
      <c r="B5" s="12" t="s">
        <v>1082</v>
      </c>
    </row>
    <row r="6" customFormat="false" ht="15" hidden="false" customHeight="false" outlineLevel="0" collapsed="false">
      <c r="A6" s="12" t="s">
        <v>1083</v>
      </c>
      <c r="B6" s="12" t="s">
        <v>1084</v>
      </c>
    </row>
    <row r="7" customFormat="false" ht="15" hidden="false" customHeight="false" outlineLevel="0" collapsed="false">
      <c r="A7" s="12" t="s">
        <v>1085</v>
      </c>
      <c r="B7" s="12" t="s">
        <v>1086</v>
      </c>
    </row>
    <row r="8" customFormat="false" ht="15" hidden="false" customHeight="false" outlineLevel="0" collapsed="false">
      <c r="A8" s="12" t="s">
        <v>1087</v>
      </c>
      <c r="B8" s="12" t="s">
        <v>1088</v>
      </c>
    </row>
    <row r="9" customFormat="false" ht="15" hidden="false" customHeight="false" outlineLevel="0" collapsed="false">
      <c r="A9" s="12" t="s">
        <v>1089</v>
      </c>
      <c r="B9" s="12" t="s">
        <v>1090</v>
      </c>
    </row>
    <row r="10" customFormat="false" ht="15" hidden="false" customHeight="false" outlineLevel="0" collapsed="false">
      <c r="A10" s="12" t="s">
        <v>1091</v>
      </c>
      <c r="B10" s="12" t="s">
        <v>1092</v>
      </c>
    </row>
    <row r="11" customFormat="false" ht="15" hidden="false" customHeight="false" outlineLevel="0" collapsed="false">
      <c r="A11" s="79" t="s">
        <v>1093</v>
      </c>
      <c r="B11" s="12" t="s">
        <v>1094</v>
      </c>
    </row>
    <row r="12" customFormat="false" ht="15" hidden="false" customHeight="false" outlineLevel="0" collapsed="false">
      <c r="A12" s="12" t="s">
        <v>1095</v>
      </c>
      <c r="B12" s="12" t="s">
        <v>1096</v>
      </c>
    </row>
    <row r="13" customFormat="false" ht="15" hidden="false" customHeight="false" outlineLevel="0" collapsed="false">
      <c r="A13" s="12" t="s">
        <v>1097</v>
      </c>
      <c r="B13" s="12" t="s">
        <v>1098</v>
      </c>
    </row>
    <row r="14" customFormat="false" ht="15" hidden="false" customHeight="false" outlineLevel="0" collapsed="false">
      <c r="A14" s="12" t="s">
        <v>1099</v>
      </c>
      <c r="B14" s="12" t="s">
        <v>1100</v>
      </c>
    </row>
    <row r="15" customFormat="false" ht="15" hidden="false" customHeight="false" outlineLevel="0" collapsed="false">
      <c r="A15" s="12" t="s">
        <v>1101</v>
      </c>
      <c r="B15" s="12" t="s">
        <v>1102</v>
      </c>
    </row>
    <row r="16" customFormat="false" ht="15" hidden="false" customHeight="false" outlineLevel="0" collapsed="false">
      <c r="A16" s="12" t="s">
        <v>1103</v>
      </c>
      <c r="B16" s="12" t="s">
        <v>1104</v>
      </c>
    </row>
    <row r="17" customFormat="false" ht="15" hidden="false" customHeight="false" outlineLevel="0" collapsed="false">
      <c r="A17" s="12" t="s">
        <v>1105</v>
      </c>
      <c r="B17" s="12" t="s">
        <v>1106</v>
      </c>
    </row>
    <row r="18" customFormat="false" ht="15" hidden="false" customHeight="false" outlineLevel="0" collapsed="false">
      <c r="A18" s="12" t="s">
        <v>1107</v>
      </c>
      <c r="B18" s="12" t="s">
        <v>1108</v>
      </c>
    </row>
    <row r="19" customFormat="false" ht="15" hidden="false" customHeight="false" outlineLevel="0" collapsed="false">
      <c r="A19" s="29" t="s">
        <v>1109</v>
      </c>
    </row>
    <row r="20" customFormat="false" ht="30" hidden="false" customHeight="true" outlineLevel="0" collapsed="false">
      <c r="A20" s="80" t="s">
        <v>1110</v>
      </c>
      <c r="B20" s="80"/>
    </row>
    <row r="21" customFormat="false" ht="30" hidden="false" customHeight="true" outlineLevel="0" collapsed="false">
      <c r="A21" s="80" t="s">
        <v>1111</v>
      </c>
      <c r="B21" s="80"/>
    </row>
    <row r="22" customFormat="false" ht="30" hidden="false" customHeight="true" outlineLevel="0" collapsed="false">
      <c r="A22" s="80" t="s">
        <v>1112</v>
      </c>
      <c r="B22" s="80"/>
    </row>
    <row r="23" customFormat="false" ht="30" hidden="false" customHeight="true" outlineLevel="0" collapsed="false">
      <c r="A23" s="80" t="s">
        <v>1113</v>
      </c>
      <c r="B23" s="80"/>
    </row>
    <row r="24" customFormat="false" ht="30" hidden="false" customHeight="true" outlineLevel="0" collapsed="false">
      <c r="A24" s="80" t="s">
        <v>1114</v>
      </c>
      <c r="B24" s="80"/>
    </row>
    <row r="25" customFormat="false" ht="30" hidden="false" customHeight="true" outlineLevel="0" collapsed="false">
      <c r="A25" s="80" t="s">
        <v>1115</v>
      </c>
      <c r="B25" s="80"/>
    </row>
  </sheetData>
  <mergeCells count="6"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2026-08-17T05:43:48Z</dcterms:created>
  <dc:creator>openpyxl</dc:creator>
  <dc:description/>
  <dc:language>en-US</dc:language>
  <cp:lastModifiedBy/>
  <dcterms:modified xsi:type="dcterms:W3CDTF">2026-08-17T05:43:48Z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